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arleton-my.sharepoint.com/personal/001046179_tarleton_edu/Documents/Desktop/Honors Thesis/"/>
    </mc:Choice>
  </mc:AlternateContent>
  <xr:revisionPtr revIDLastSave="525" documentId="8_{2F330454-B040-41D1-9477-EB74807353A2}" xr6:coauthVersionLast="47" xr6:coauthVersionMax="47" xr10:uidLastSave="{488D0801-08E6-48A3-AD38-A65F041297D1}"/>
  <bookViews>
    <workbookView xWindow="-103" yWindow="-103" windowWidth="19543" windowHeight="12497" xr2:uid="{75666160-3DBC-433C-BACD-00981E95946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2" l="1"/>
  <c r="H33" i="2"/>
  <c r="H42" i="2"/>
  <c r="H41" i="2"/>
  <c r="H40" i="2"/>
  <c r="H39" i="2"/>
  <c r="H38" i="2"/>
  <c r="H37" i="2"/>
  <c r="H36" i="2"/>
  <c r="H35" i="2"/>
  <c r="H34" i="2"/>
  <c r="H32" i="2"/>
  <c r="H31" i="2"/>
  <c r="H30" i="2"/>
  <c r="R30" i="2" s="1"/>
  <c r="H29" i="2"/>
  <c r="H28" i="2"/>
  <c r="R28" i="2" s="1"/>
  <c r="H27" i="2"/>
  <c r="R27" i="2" s="1"/>
  <c r="H26" i="2"/>
  <c r="H25" i="2"/>
  <c r="H24" i="2"/>
  <c r="R24" i="2" s="1"/>
  <c r="H23" i="2"/>
  <c r="H22" i="2"/>
  <c r="H21" i="2"/>
  <c r="R21" i="2" s="1"/>
  <c r="H20" i="2"/>
  <c r="R20" i="2" s="1"/>
  <c r="H19" i="2"/>
  <c r="H18" i="2"/>
  <c r="R18" i="2" s="1"/>
  <c r="H17" i="2"/>
  <c r="H15" i="2"/>
  <c r="H14" i="2"/>
  <c r="H13" i="2"/>
  <c r="H12" i="2"/>
  <c r="H11" i="2"/>
  <c r="R11" i="2" s="1"/>
  <c r="H10" i="2"/>
  <c r="H9" i="2"/>
  <c r="H8" i="2"/>
  <c r="R8" i="2" s="1"/>
  <c r="H7" i="2"/>
  <c r="H6" i="2"/>
  <c r="H5" i="2"/>
  <c r="H4" i="2"/>
  <c r="R4" i="2" s="1"/>
  <c r="H3" i="2"/>
  <c r="R3" i="2" s="1"/>
  <c r="E3" i="2"/>
  <c r="O3" i="2" s="1"/>
  <c r="E11" i="2"/>
  <c r="O11" i="2" s="1"/>
  <c r="E9" i="2"/>
  <c r="O9" i="2" s="1"/>
  <c r="E10" i="2"/>
  <c r="O10" i="2" s="1"/>
  <c r="E13" i="2"/>
  <c r="O13" i="2" s="1"/>
  <c r="E12" i="2"/>
  <c r="O12" i="2" s="1"/>
  <c r="E8" i="2"/>
  <c r="O8" i="2" s="1"/>
  <c r="E7" i="2"/>
  <c r="O7" i="2" s="1"/>
  <c r="E6" i="2"/>
  <c r="O6" i="2" s="1"/>
  <c r="E5" i="2"/>
  <c r="O5" i="2" s="1"/>
  <c r="E4" i="2"/>
  <c r="O4" i="2" s="1"/>
  <c r="B5" i="2"/>
  <c r="L5" i="2" s="1"/>
  <c r="B4" i="2"/>
  <c r="L4" i="2" s="1"/>
  <c r="B3" i="2"/>
  <c r="L3" i="2" s="1"/>
  <c r="R41" i="2" l="1"/>
  <c r="R12" i="2"/>
  <c r="R37" i="2"/>
  <c r="R6" i="2"/>
  <c r="R14" i="2"/>
  <c r="R22" i="2"/>
  <c r="R13" i="2"/>
  <c r="R39" i="2"/>
  <c r="R9" i="2"/>
  <c r="R38" i="2"/>
  <c r="R5" i="2"/>
  <c r="R29" i="2"/>
  <c r="R7" i="2"/>
  <c r="R15" i="2"/>
  <c r="R23" i="2"/>
  <c r="R31" i="2"/>
  <c r="R40" i="2"/>
  <c r="R17" i="2"/>
  <c r="R25" i="2"/>
  <c r="R33" i="2"/>
  <c r="R36" i="2"/>
  <c r="R16" i="2"/>
  <c r="R32" i="2"/>
  <c r="R10" i="2"/>
  <c r="R26" i="2"/>
  <c r="R34" i="2"/>
  <c r="R19" i="2"/>
  <c r="R35" i="2"/>
</calcChain>
</file>

<file path=xl/sharedStrings.xml><?xml version="1.0" encoding="utf-8"?>
<sst xmlns="http://schemas.openxmlformats.org/spreadsheetml/2006/main" count="11523" uniqueCount="5231">
  <si>
    <t>Premise</t>
  </si>
  <si>
    <t>Hypothesis</t>
  </si>
  <si>
    <t>Relationship</t>
  </si>
  <si>
    <t>ContradictionType</t>
  </si>
  <si>
    <t>The quantum processor developed by QTech Corp can perform over a million operations per second.</t>
  </si>
  <si>
    <t>The quantum processor from QTech Corp is limited to just a few thousand operations per second.</t>
  </si>
  <si>
    <t>Contradictory</t>
  </si>
  <si>
    <t>Numerical</t>
  </si>
  <si>
    <t>The new privacy update encrypts all user data end-to-end using a zero-knowledge protocol.</t>
  </si>
  <si>
    <t>The new privacy update fails to encrypt any user data.</t>
  </si>
  <si>
    <t>Negation</t>
  </si>
  <si>
    <t>The AI model was trained using a dataset consisting exclusively of financial news articles.</t>
  </si>
  <si>
    <t>The AI model was trained using diverse datasets including medical records and social media posts.</t>
  </si>
  <si>
    <t>Attribute</t>
  </si>
  <si>
    <t>Tesla’s autopilot system was launched in 2015 and has undergone regular updates since then.</t>
  </si>
  <si>
    <t>Tesla’s autopilot was introduced in 2022 after years of development.</t>
  </si>
  <si>
    <t>Temporal</t>
  </si>
  <si>
    <t>Subject</t>
  </si>
  <si>
    <t>Technology</t>
  </si>
  <si>
    <t>The cloud server in Frankfurt ensures data is stored within the EU for regulatory compliance.</t>
  </si>
  <si>
    <t>The cloud server is located in Singapore to reduce latency for users in Southeast Asia.</t>
  </si>
  <si>
    <t>Spatial</t>
  </si>
  <si>
    <t>The cybersecurity expert claimed that biometric systems are significantly more secure than password-based authentication.</t>
  </si>
  <si>
    <t>The cybersecurity expert argued that biometric systems introduce more vulnerabilities than traditional passwords.</t>
  </si>
  <si>
    <t>Opinion</t>
  </si>
  <si>
    <t>The report concludes that the algorithm is 95% likely to predict user behavior correctly.</t>
  </si>
  <si>
    <t>The report concludes that the algorithm performs no better than random guessing.</t>
  </si>
  <si>
    <t>Probability</t>
  </si>
  <si>
    <t>A 64-bit processor is defined as one that can handle data in 64-bit chunks.</t>
  </si>
  <si>
    <t>A 64-bit processor is defined as one that handles data in 32-bit segments.</t>
  </si>
  <si>
    <t>Definition</t>
  </si>
  <si>
    <t>The company must choose between developing its own chip architecture or licensing it from ARM.</t>
  </si>
  <si>
    <t>The company is developing its own chip architecture while also licensing ARM designs.</t>
  </si>
  <si>
    <t>Exclusive Relationship</t>
  </si>
  <si>
    <t>Overheating in the system was caused by inadequate ventilation in the server room.</t>
  </si>
  <si>
    <t>Overheating was due to a firmware bug that mismanaged fan speeds.</t>
  </si>
  <si>
    <t>Causal</t>
  </si>
  <si>
    <t>The data analysis platform can generate visualizations based on real-time input from IoT devices.</t>
  </si>
  <si>
    <t>The platform supports real-time data monitoring.</t>
  </si>
  <si>
    <t>Entailing</t>
  </si>
  <si>
    <t>The satellite navigation system uses trilateration to determine precise geolocation.</t>
  </si>
  <si>
    <t>The system relies on calculating distances from multiple satellites to locate a position.</t>
  </si>
  <si>
    <t>The smartphone supports wireless charging and reverse charging for accessories.</t>
  </si>
  <si>
    <t>The phone can be charged without using a cable.</t>
  </si>
  <si>
    <t>The drone automatically returns to the launch point when battery levels are critically low.</t>
  </si>
  <si>
    <t>The drone has an autonomous return-to-home feature.</t>
  </si>
  <si>
    <t>The new operating system update fixed several major bugs affecting Bluetooth connectivity.</t>
  </si>
  <si>
    <t>Bluetooth issues have been resolved in the latest software update.</t>
  </si>
  <si>
    <t>The autonomous delivery robot is equipped with lidar, GPS, and computer vision.</t>
  </si>
  <si>
    <t>The robot uses advanced sensors for navigation.</t>
  </si>
  <si>
    <t>The blockchain ledger stores every transaction in a distributed, immutable format</t>
  </si>
  <si>
    <t>All changes to the blockchain are permanently recorded.</t>
  </si>
  <si>
    <t>The wearable device tracks heart rate, steps, and sleep cycles</t>
  </si>
  <si>
    <t>The device monitors various aspects of a user's health.</t>
  </si>
  <si>
    <t>The smartwatch was compatible with both Android and iOS devices.</t>
  </si>
  <si>
    <t>The smartwatch worked seamlessly with Android phones.</t>
  </si>
  <si>
    <t>Neutral</t>
  </si>
  <si>
    <t>The web browser’s new feature enables simultaneous translation in multiple languages.</t>
  </si>
  <si>
    <t>The browser supports dark mode and tab grouping.</t>
  </si>
  <si>
    <t>The graphics card includes a triple-fan cooling system for improved thermal performance.</t>
  </si>
  <si>
    <t>The GPU uses ray tracing for enhanced lighting in games.</t>
  </si>
  <si>
    <t>The research paper focused on AI applications in radiology.</t>
  </si>
  <si>
    <t>The research team previously published work on AI in agriculture.</t>
  </si>
  <si>
    <t>The company's latest announcement concerned quantum networking.</t>
  </si>
  <si>
    <t>The company has been exploring developments in neural interface technology.</t>
  </si>
  <si>
    <t>The prototype for the new AR headset was showcased at CES 2025.</t>
  </si>
  <si>
    <t>The production model of the AR glasses is expected in early 2026.</t>
  </si>
  <si>
    <t>The voice assistant now supports contextual conversation chaining.</t>
  </si>
  <si>
    <t>The new update improved the assistant’s joke-telling abilities.</t>
  </si>
  <si>
    <t>The e-reader has a 10-inch e-ink display optimized for sunlight.</t>
  </si>
  <si>
    <t>The manufacturer plans to release a color e-ink tablet next year.</t>
  </si>
  <si>
    <t>The company’s facial recognition algorithm was banned due to ethical concerns about racial bias.</t>
  </si>
  <si>
    <t>The company’s facial recognition software received global acclaim for being unbiased and ethical.</t>
  </si>
  <si>
    <t>The supercomputer completed the protein-folding simulation in under 48 hours.</t>
  </si>
  <si>
    <t>The simulation ran for over a week due to hardware constraints.</t>
  </si>
  <si>
    <t>Neuralink’s brain–computer interface enables users to control devices using neural signals.</t>
  </si>
  <si>
    <t>Neuralink’s interface does not interact with neural activity in any form.</t>
  </si>
  <si>
    <t>The mobile app was released in April 2023 following two years of beta testing.</t>
  </si>
  <si>
    <t>The beta version of the app launched in April 2023 and the full release followed in December 2024.</t>
  </si>
  <si>
    <t>The satellite dish was mounted on the northern side of the building to optimize reception.</t>
  </si>
  <si>
    <t>The satellite dish was placed on the southern side of the building for maximum exposure.</t>
  </si>
  <si>
    <t>The internal report stated that the malware attack was a result of an unpatched firewall vulnerability.</t>
  </si>
  <si>
    <t>The report concluded the malware spread due to a phishing campaign.</t>
  </si>
  <si>
    <t>According to the CEO, quantum supremacy has been practically achieved with the new chip.</t>
  </si>
  <si>
    <t>The CEO dismissed quantum supremacy as an unachievable milestone.</t>
  </si>
  <si>
    <t>A terabyte is defined as 1,024 gigabytes in traditional binary terms</t>
  </si>
  <si>
    <t>A terabyte is defined as exactly 1,000 gigbytes in all digital contexts.</t>
  </si>
  <si>
    <t>The robotics team had to choose between using lightweight carbon fiber or durable titanium for the exoskeleton frame.</t>
  </si>
  <si>
    <t>The team used both carbon fiber and titanium to strengthen the exoskeleton.</t>
  </si>
  <si>
    <t>The cybersecurity system guarantees a 99.999% detection rate for known threats.</t>
  </si>
  <si>
    <t>The cybersecurity system is unable to identify most known threats.</t>
  </si>
  <si>
    <t>The autonomous vehicle uses real-time LiDAR scanning to map its environment.</t>
  </si>
  <si>
    <t>The vehicle can detect nearby obstacles using laser-based systems.</t>
  </si>
  <si>
    <t>The new SSD uses NVMe protocol to achieve high-speed data access.</t>
  </si>
  <si>
    <t>The drive supports ultra-fast reading and writing capabilities.</t>
  </si>
  <si>
    <t>The machine learning model was optimized through reinforcement learning with delayed rewards.</t>
  </si>
  <si>
    <t>The algorithm was trained using a technique that adjusts behavior based on outcomes.</t>
  </si>
  <si>
    <t>The latest smart thermostat adjusts temperature based on occupancy and weather predictions.</t>
  </si>
  <si>
    <t>The thermostat can automatically regulate room temperature.</t>
  </si>
  <si>
    <t>The software update enhances GPU performance by offloading tasks from the CPU.</t>
  </si>
  <si>
    <t>The update improves graphical processing efficiency.</t>
  </si>
  <si>
    <t>The 5G network infrastructure dramatically reduces latency for connected devices.</t>
  </si>
  <si>
    <t>Devices experience faster response times due to the new mobile network.</t>
  </si>
  <si>
    <t>The biochip can detect multiple biomarkers from a single blood drop.</t>
  </si>
  <si>
    <t>The biochip performs comprehensive blood analysis.</t>
  </si>
  <si>
    <t>The password manager encrypts all stored credentials using AES-256.</t>
  </si>
  <si>
    <t>The software keeps users’ login data secure through strong encryption.</t>
  </si>
  <si>
    <t>The 3D printer supports dual-extrusion for multi-material prints.</t>
  </si>
  <si>
    <t>The printer features a touchscreen interface and built-in Wi-Fi.</t>
  </si>
  <si>
    <t>The company unveiled a solar-powered drone with a wingspan of over three meters.</t>
  </si>
  <si>
    <t>The drone can operate in temperatures below freezing.</t>
  </si>
  <si>
    <t>The data center was built to withstand earthquakes.</t>
  </si>
  <si>
    <t>The facility is located in a coastal region vulnerable to hurricanes.</t>
  </si>
  <si>
    <t>The startup is developing blockchain solutions for supply chain transparency.</t>
  </si>
  <si>
    <t>The founders previously worked on fintech platforms.</t>
  </si>
  <si>
    <t>The laptop features an OLED screen and ultra-thin bezels.</t>
  </si>
  <si>
    <t>The manufacturer is also planning to launch a foldable phone series.</t>
  </si>
  <si>
    <t>The new VR headset includes haptic feedback for a more immersive experience.</t>
  </si>
  <si>
    <t>The company released a motion controller compatible with earlier headsets.</t>
  </si>
  <si>
    <t>The team published results on neuromorphic computing using memristor arrays.</t>
  </si>
  <si>
    <t>They also submitted a paper on optical computing to a different journal.</t>
  </si>
  <si>
    <t>The company introduced a new AI model trained entirely on synthetic data.</t>
  </si>
  <si>
    <t>Their earlier model used anonymized real-world data from healthcare systems.</t>
  </si>
  <si>
    <t>The heavy rainfall flooded the town because the drainage system was outdated.</t>
  </si>
  <si>
    <t>The heavy rainfall did not flood the town since the new drainage system worked efficiently.</t>
  </si>
  <si>
    <t>Weather</t>
  </si>
  <si>
    <t>Due to the coach’s relentless training regimen, the team improved their endurance significantly.</t>
  </si>
  <si>
    <t>Despite having a coach, the team failed to show any progress in endurance.</t>
  </si>
  <si>
    <t>The heated debate in parliament led to a shift in public opinion against the bill.</t>
  </si>
  <si>
    <t>The heated debate in parliament resulted in overwhelming public support for the bill.</t>
  </si>
  <si>
    <t>Law</t>
  </si>
  <si>
    <t>The server crashed because it was overloaded with too many concurrent requests.</t>
  </si>
  <si>
    <t>The server crashed because it was attacked by a malicious virus.</t>
  </si>
  <si>
    <t>Because the ice cream melted in the sun, it dripped all over the child’s hands.</t>
  </si>
  <si>
    <t>Because the ice cream remained frozen in the cooler, it didn’t drip at all.</t>
  </si>
  <si>
    <t>Food</t>
  </si>
  <si>
    <t>After the celebrity endorsed the product, sales skyrocketed across the country.</t>
  </si>
  <si>
    <t>Sales plummeted after the celebrity endorsed the product.</t>
  </si>
  <si>
    <t>Business</t>
  </si>
  <si>
    <t>Due to her years of experience in marine biology, she was appointed as the lead scientist for the expedition.</t>
  </si>
  <si>
    <t>Because of her extensive background, she was chosen to lead the marine research team.</t>
  </si>
  <si>
    <t>Since the medication reduced inflammation quickly, the patient’s recovery was accelerated.</t>
  </si>
  <si>
    <t>Because it rapidly decreased swelling, the drug sped up the healing process.</t>
  </si>
  <si>
    <t>Medicine</t>
  </si>
  <si>
    <t>The snowstorm disrupted several flights, causing long delays for travelers.</t>
  </si>
  <si>
    <t>Because of the snowstorm, many passengers had to wait hours for their flights.</t>
  </si>
  <si>
    <t>His consistent practice in playing the violin led to his flawless performance during the recital.</t>
  </si>
  <si>
    <t>Due to his dedication and regular rehearsals, he played perfectly at the concert.</t>
  </si>
  <si>
    <t>Music</t>
  </si>
  <si>
    <t>Because the farmer rotated his crops each season, the soil retained its nutrients better.</t>
  </si>
  <si>
    <t>Crop rotation helped the farmer maintain soil fertility over the years.</t>
  </si>
  <si>
    <t>Nature</t>
  </si>
  <si>
    <t>Due to the rise in global temperatures, polar ice caps have begun to melt at an alarming rate.</t>
  </si>
  <si>
    <t>The melting of polar ice caps is attributed to a significant increase in global temperatures.</t>
  </si>
  <si>
    <t>Since the game was postponed due to rain, the players had an extra day to rest.</t>
  </si>
  <si>
    <t>Because the match was delayed, fans spent the day speculating about strategies.</t>
  </si>
  <si>
    <t>Sports</t>
  </si>
  <si>
    <t>Because of the limited internet access in rural areas, online education adoption remained low.</t>
  </si>
  <si>
    <t>Due to limited internet access, rural healthcare facilities struggled to digitize records.</t>
  </si>
  <si>
    <t>The cancellation of the concert due to safety concerns upset many fans.</t>
  </si>
  <si>
    <t>Since the concert was canceled, the venue offered partial refunds for pre-booked catering services.</t>
  </si>
  <si>
    <t>Parties</t>
  </si>
  <si>
    <t>Since the fire alarm did not go off, everyone remained inside the building.</t>
  </si>
  <si>
    <t>Because the fire alarm sounded, everyone evacuated immediately.</t>
  </si>
  <si>
    <t>Because the student studied all night, she failed to wake up in time for the exam.</t>
  </si>
  <si>
    <t>Because the student went to bed early, she woke up refreshed for the exam.</t>
  </si>
  <si>
    <t>School</t>
  </si>
  <si>
    <t>The plane was delayed due to mechanical issues with the engine.</t>
  </si>
  <si>
    <t>The plane was not delayed because all systems were operating normally.</t>
  </si>
  <si>
    <t>Since the company doubled its advertising budget, customer engagement dropped significantly.</t>
  </si>
  <si>
    <t>The increase in advertising led to a major boost in customer engagement.</t>
  </si>
  <si>
    <t>Because the athlete followed a strict diet, his performance improved dramatically.</t>
  </si>
  <si>
    <t>His improved athletic performance was the result of adhering to a disciplined diet.</t>
  </si>
  <si>
    <t>Due to the merger, the tech companies combined their research departments.</t>
  </si>
  <si>
    <t>The merger caused the two companies to unify their R&amp;D divisions.</t>
  </si>
  <si>
    <t>Since the baby was teething, she became unusually irritable.</t>
  </si>
  <si>
    <t>The baby's irritability was caused by the onset of teething.</t>
  </si>
  <si>
    <t>Because the new policy offered tax incentives, small businesses started hiring more staff.</t>
  </si>
  <si>
    <t>Tax breaks under the new law led to increased employment in small businesses.</t>
  </si>
  <si>
    <t>Due to the power outage, the family had to cook dinner using a gas stove.</t>
  </si>
  <si>
    <t>The power outage made it impossible for the family to finish watching the movie.</t>
  </si>
  <si>
    <t>Because of the city-wide marathon, several roads were closed for most of the day.</t>
  </si>
  <si>
    <t>Due to the marathon, many participants booked nearby hotels in advance.</t>
  </si>
  <si>
    <t>Due to ongoing construction, residents reported noise complaints.</t>
  </si>
  <si>
    <t>Construction in the area led to delayed deliveries for several local businesses.</t>
  </si>
  <si>
    <t>Construction</t>
  </si>
  <si>
    <t>Because the university extended the deadline, students had more time to revise their papers.</t>
  </si>
  <si>
    <t>The university’s extended deadline prompted professors to adjust their grading schedules.</t>
  </si>
  <si>
    <t>Because she forgot her umbrella, she got drenched on the way to work.</t>
  </si>
  <si>
    <t>Her soaked clothes led her to buy a new outfit from a nearby store.</t>
  </si>
  <si>
    <t>Due to the unusually warm winter, many plants bloomed earlier than expected.</t>
  </si>
  <si>
    <t>Gardeners in the region also reported early flowering in various species.</t>
  </si>
  <si>
    <t>Since the software update added new security features, IT teams had to revise their protocols.</t>
  </si>
  <si>
    <t>The update also introduced a redesigned user interface.</t>
  </si>
  <si>
    <t>The Mariana Trench reaches depths of nearly 11,000 meters, making it the deepest part of the world's oceans.</t>
  </si>
  <si>
    <t>The Mariana Trench is less than 5,000 meters deep.</t>
  </si>
  <si>
    <t>Coral reefs depend on sunlight and warm, shallow waters to thrive, often forming near the coastlines of tropical regions.</t>
  </si>
  <si>
    <t>Coral reefs are typically found in deep, dark oceanic trenches where sunlight doesn't reach.</t>
  </si>
  <si>
    <t>Ocean acidification has been steadily increasing due to rising carbon dioxide levels, impacting marine life reproduction.</t>
  </si>
  <si>
    <t>Ocean acidification has not changed in recent decades and has no effect on marine ecosystems.</t>
  </si>
  <si>
    <t>Many species of whales migrate thousands of miles annually, moving to warmer waters to breed during the winter.</t>
  </si>
  <si>
    <t>Whales stay in the same region year-round and do not travel for breeding purposes.</t>
  </si>
  <si>
    <t>Oil spills in the ocean can lead to catastrophic damage to coastal ecosystems, affecting marine biodiversity for years.</t>
  </si>
  <si>
    <t>Oil spills have no long-term impact on ocean biodiversity or coastal ecosystems.</t>
  </si>
  <si>
    <t>Ocean</t>
  </si>
  <si>
    <t>While most jellyfish stings are harmless, some species like the box jellyfish can deliver potentially fatal venom.</t>
  </si>
  <si>
    <t>Jellyfish are entirely harmless to humans and pose no threat regardless of the species.</t>
  </si>
  <si>
    <t>The Pacific Ocean covers more area than all the continents combined, spanning over 63 million square miles.</t>
  </si>
  <si>
    <t>The Pacific Ocean is smaller than the Arctic Ocean.</t>
  </si>
  <si>
    <t>Scientists generally agree that climate change is contributing to the rising temperatures of ocean waters.</t>
  </si>
  <si>
    <t>Many scientists argue that ocean warming is unrelated to climate change and is entirely natural.</t>
  </si>
  <si>
    <t>Octopuses are mollusks known for their intelligence, camouflage abilities, and lack of an internal skeleton.</t>
  </si>
  <si>
    <t>Octopuses are vertebrates with a rigid internal skeleton for support.</t>
  </si>
  <si>
    <t>The Indian Ocean is bordered by Africa, Asia, and Australia, forming a crucial part of global maritime trade.</t>
  </si>
  <si>
    <t>The Indian Ocean does not border any continents.</t>
  </si>
  <si>
    <t>The Atlantic Ocean plays a key role in regulating Earth's climate through thermohaline circulation.</t>
  </si>
  <si>
    <t>Thermohaline circulation helps distribute heat around the globe via ocean currents.</t>
  </si>
  <si>
    <t>Overfishing has significantly reduced populations of certain tuna species in the Pacific Ocean.</t>
  </si>
  <si>
    <t>Some tuna species in the Pacific Ocean are now classified as endangered due to overfishing.</t>
  </si>
  <si>
    <t>Many deep-sea creatures exhibit bioluminescence, using light to attract prey or communicate.</t>
  </si>
  <si>
    <t>Several deep-sea species use bioluminescence as a means of interacting with their environment.</t>
  </si>
  <si>
    <t>Melting polar ice contributes to sea level rise, affecting coastal regions around the world.</t>
  </si>
  <si>
    <t>Global warming leads to rising sea levels, particularly from melting ice sheets at the poles.</t>
  </si>
  <si>
    <t>The Sargasso Sea, defined by ocean currents rather than land boundaries, is located within the Atlantic Ocean.</t>
  </si>
  <si>
    <t>The Sargasso Sea is a region of the Atlantic Ocean characterized by floating seaweed and unique currents.</t>
  </si>
  <si>
    <t>Seagrass beds serve as nurseries for juvenile fish and help stabilize the ocean floor.</t>
  </si>
  <si>
    <t>Marine habitats like seagrass beds are vital for maintaining fish populations and preventing erosion.</t>
  </si>
  <si>
    <t>Deep-sea vents host ecosystems that rely on chemosynthesis instead of photosynthesis.</t>
  </si>
  <si>
    <t>Hydrothermal vents support life through chemical energy rather than solar energy.</t>
  </si>
  <si>
    <t>The ocean covers about 71% of Earth's surface and contains 97% of the planet's water.</t>
  </si>
  <si>
    <t>Most of Earth’s surface is ocean, which holds nearly all of its water resources.</t>
  </si>
  <si>
    <t>The Gulf Stream current influences weather patterns in Europe by transporting warm water across the Atlantic.</t>
  </si>
  <si>
    <t>Ocean currents such as the Gulf Stream have significant effects on regional climates.</t>
  </si>
  <si>
    <t>Albatrosses are seabirds that can travel thousands of miles across open ocean in search of food.</t>
  </si>
  <si>
    <t>Some seabirds are capable of long-distance oceanic travel for feeding and migration.</t>
  </si>
  <si>
    <t>Ocean tides are primarily influenced by the gravitational pull of the moon, though the sun also plays a role.</t>
  </si>
  <si>
    <t>Tides in the ocean are sometimes caused by seismic activity beneath the seafloor.</t>
  </si>
  <si>
    <t>Phytoplankton, microscopic marine organisms, contribute significantly to global oxygen production.</t>
  </si>
  <si>
    <t>Dolphins rely on echolocation to navigate and hunt in murky ocean waters.</t>
  </si>
  <si>
    <t>The Southern Ocean encircles Antarctica and is home to species adapted to cold temperatures.</t>
  </si>
  <si>
    <t>The Red Sea is known for its warm waters and coral reef systems.</t>
  </si>
  <si>
    <t>Sharkskin is covered in dermal denticles, which reduce drag and enhance swimming efficiency.</t>
  </si>
  <si>
    <t>Sea turtles rely on their powerful flippers to migrate across vast stretches of ocean.</t>
  </si>
  <si>
    <t>Sonar technology is used to map the ocean floor and detect underwater objects.</t>
  </si>
  <si>
    <t>Plastic pollution has been found in remote parts of the deep ocean, affecting marine organisms.</t>
  </si>
  <si>
    <t>Submarine canyons are steep-sided valleys cut into the seabed of the continental slope.</t>
  </si>
  <si>
    <t>Overfishing has led to declines in certain populations of squid and anchovy.</t>
  </si>
  <si>
    <t>The phenomenon of red tide is caused by algal blooms that can release toxins into the water.</t>
  </si>
  <si>
    <t>Many marine mammals give birth to live young and nurse them underwater.</t>
  </si>
  <si>
    <t>Marine snow consists of organic material that falls from upper waters to the ocean floor.</t>
  </si>
  <si>
    <t>Whales often communicate over long distances using low-frequency vocalizations.</t>
  </si>
  <si>
    <t>Floating garbage patches have formed in the subtropical gyres due to ocean currents.</t>
  </si>
  <si>
    <t>Some scientists study hydrothermal vents to understand the origins of life.</t>
  </si>
  <si>
    <t>Salt marshes provide important buffering zones between land and sea, reducing storm impact.</t>
  </si>
  <si>
    <t>Crabs use their pincers to defend territory and capture food.</t>
  </si>
  <si>
    <t>The salinity of the Dead Sea is so high that most marine organisms cannot survive in it.</t>
  </si>
  <si>
    <t>The Dead Sea supports a rich diversity of marine life due to its balanced salinity.</t>
  </si>
  <si>
    <t>El Niño events occur irregularly every two to seven years and significantly disrupt global weather patterns.</t>
  </si>
  <si>
    <t>El Niño occurs every single year with consistent and predictable outcomes.</t>
  </si>
  <si>
    <t>Submarines must equalize internal and external pressure to avoid structural damage when diving into deep ocean trenches.</t>
  </si>
  <si>
    <t>Submarines are unaffected by changes in ocean pressure and require no adjustments during deep dives.</t>
  </si>
  <si>
    <t>The average ocean surface temperature has risen by nearly 1 degree Celsius over the last century.</t>
  </si>
  <si>
    <t>Ocean surface temperatures have remained stable over the past hundred years.</t>
  </si>
  <si>
    <t>The ocean floor is mapped using sonar technology that measures the time it takes for sound waves to return.</t>
  </si>
  <si>
    <t>The ocean floor cannot be mapped using sound-based technologies.</t>
  </si>
  <si>
    <t>Great white sharks are solitary hunters known for ambushing prey near the ocean surface.</t>
  </si>
  <si>
    <t>Great white sharks typically hunt in coordinated groups along the seafloor.</t>
  </si>
  <si>
    <t>The Arctic Ocean is the smallest and shallowest of the world's five major oceans.</t>
  </si>
  <si>
    <t>The Arctic Ocean is the largest and deepest ocean on the planet.</t>
  </si>
  <si>
    <t>Plastic microfibers have been detected in over 90% of commercial sea salt brands worldwide.</t>
  </si>
  <si>
    <t>Plastic contamination in sea salt is extremely rare and almost never detected.</t>
  </si>
  <si>
    <t>Most marine biologists agree that ocean ecosystems are facing critical threats from human activity.</t>
  </si>
  <si>
    <t>Marine biologists largely believe ocean ecosystems are thriving and unaffected by humans.</t>
  </si>
  <si>
    <t>The water in oceanic hydrothermal vents can reach temperatures over 400 degrees Celsius.</t>
  </si>
  <si>
    <t>Hydrothermal vents in the ocean never exceed temperatures of 100 degrees Celsius.</t>
  </si>
  <si>
    <t>Some marine mammals, such as dolphins and whales, sleep with one hemisphere of their brain active.</t>
  </si>
  <si>
    <t>Marine mammals sleep with both hemispheres of their brain completely shut down.</t>
  </si>
  <si>
    <t>Seamounts are underwater mountains formed by volcanic activity and provide habitats for diverse species.</t>
  </si>
  <si>
    <t>Volcanic seamounts are rich ecosystems that support various marine organisms.</t>
  </si>
  <si>
    <t>The Southern Ocean contains powerful currents that encircle Antarctica, helping to regulate global temperatures.</t>
  </si>
  <si>
    <t>Ocean currents in the Southern Ocean help distribute heat across the planet.</t>
  </si>
  <si>
    <t>Bioluminescent plankton illuminate the water during the night, particularly in tropical regions.</t>
  </si>
  <si>
    <t>Some tropical waters glow at night due to light-emitting marine microorganisms.</t>
  </si>
  <si>
    <t>Krill serve as a foundational species in Antarctic food chains, supporting everything from fish to whales.</t>
  </si>
  <si>
    <t>Many Antarctic predators depend on krill for nutrition, making them ecologically vital.</t>
  </si>
  <si>
    <t>The mesopelagic zone, or twilight zone, receives minimal sunlight and is home to many vertically migrating species.</t>
  </si>
  <si>
    <t>Marine animals living in the twilight zone often ascend at night to feed in shallower waters.</t>
  </si>
  <si>
    <t>During high tide, coastal wetlands act as natural flood barriers, absorbing excess seawater.</t>
  </si>
  <si>
    <t>High tides are partially mitigated by coastal ecosystems that act as sponges for seawater.</t>
  </si>
  <si>
    <t>The deepest known point in the ocean, Challenger Deep, lies in the Mariana Trench.</t>
  </si>
  <si>
    <t>Challenger Deep is located within the Mariana Trench and is the ocean’s deepest surveyed point.</t>
  </si>
  <si>
    <t>Sound travels faster in seawater than in air, making sonar effective for underwater navigation.</t>
  </si>
  <si>
    <t>Because sound moves quickly in saltwater, sonar systems are commonly used at sea.</t>
  </si>
  <si>
    <t>The process of upwelling brings cold, nutrient-rich water from deep ocean layers to the surface.</t>
  </si>
  <si>
    <t>Upwelling supports marine life by transporting nutrients to sunlit ocean zones.</t>
  </si>
  <si>
    <t>Green sea turtles primarily feed on seagrass, which helps maintain healthy seabed ecosystems.</t>
  </si>
  <si>
    <t>Emperor penguins rely on fish and krill as their main food source.</t>
  </si>
  <si>
    <t>Subsurface ocean currents influence the long-term distribution of heat across the globe.</t>
  </si>
  <si>
    <t>The primary threats to sea otters include oil spills and habitat degradation.</t>
  </si>
  <si>
    <t>Ocean exploration missions sometimes use autonomous vehicles to map unknown regions.</t>
  </si>
  <si>
    <t>The Gulf of Mexico has a complex cultural history, including indigenous and colonial influences.</t>
  </si>
  <si>
    <t>Oceanographers use CTD sensors to record conductivity, temperature, and depth of seawater.</t>
  </si>
  <si>
    <t>Whale songs can sometimes travel thousands of kilometers across the ocean.</t>
  </si>
  <si>
    <t>Sea cucumbers filter organic material from the ocean floor, playing a role in benthic ecosystems.</t>
  </si>
  <si>
    <t>The International Date Line runs through the Pacific Ocean and influences global timekeeping.</t>
  </si>
  <si>
    <t>Storm surges caused by hurricanes can devastate coastal infrastructure.</t>
  </si>
  <si>
    <t>Some corals build skeletons by extracting calcium carbonate from seawater.</t>
  </si>
  <si>
    <t>Saltwater intrusion can affect groundwater supplies in low-lying coastal areas.</t>
  </si>
  <si>
    <t>The northern lights are caused by interactions between solar wind and Earth's magnetic field.</t>
  </si>
  <si>
    <t>Some species of squid exhibit rapid color changes for camouflage or communication.</t>
  </si>
  <si>
    <t>Lighthouses have historically served as beacons for ships navigating treacherous coasts.</t>
  </si>
  <si>
    <t>Tsunamis can result from underwater earthquakes and propagate across entire ocean basins.</t>
  </si>
  <si>
    <t>Barnacles attach themselves to hard surfaces, including boat hulls and rocks.</t>
  </si>
  <si>
    <t>Drifting buoys are deployed to collect data on surface currents and sea surface temperatures.</t>
  </si>
  <si>
    <t>Dolphins often engage in playful behavior and display strong social bonds.</t>
  </si>
  <si>
    <t>The city implemented stricter emission regulations last year to reduce air pollution.</t>
  </si>
  <si>
    <t>As a result of the new regulations, the air quality in the city has improved significantly.</t>
  </si>
  <si>
    <t>The football team trained extensively during the off-season to enhance their performance.</t>
  </si>
  <si>
    <t>Despite their rigorous training, the team lost most of their matches this season.</t>
  </si>
  <si>
    <t>After months of drought, the government imposed water usage restrictions across the state.</t>
  </si>
  <si>
    <t>The agricultural sector suffered major crop losses due to the prolonged lack of rainfall.</t>
  </si>
  <si>
    <t>Many consumers reported malfunctions in the new smartphone model within the first week of release.</t>
  </si>
  <si>
    <t>Due to overwhelmingly positive reviews, the phone quickly became the best-selling device of the year.</t>
  </si>
  <si>
    <t>The zoo introduced a new heated enclosure to ensure animal comfort during winter.</t>
  </si>
  <si>
    <t>Several animals were relocated to a temporary shelter due to the failure of the heating system.</t>
  </si>
  <si>
    <t>Animals</t>
  </si>
  <si>
    <t>The sudden drop in temperature caused pipes to freeze in several residential areas.</t>
  </si>
  <si>
    <t>Homeowners had to deal with flooding and water damage once the pipes burst.</t>
  </si>
  <si>
    <t>Due to a recent scandal involving embezzlement, the politician lost significant public support.</t>
  </si>
  <si>
    <t>The politician's popularity soared following their successful anti-corruption campaign.</t>
  </si>
  <si>
    <t>Crime</t>
  </si>
  <si>
    <t>After switching to a plant-based diet, she noticed an improvement in her energy levels and digestion.</t>
  </si>
  <si>
    <t>Her health remained unchanged despite the major dietary shift.</t>
  </si>
  <si>
    <t>During the trade embargo, the country experienced shortages of essential goods.</t>
  </si>
  <si>
    <t>The embargo had little impact on the availability of imported products.</t>
  </si>
  <si>
    <t>His consistent practice and dedication to playing the violin led to a scholarship offer from a prestigious conservatory.</t>
  </si>
  <si>
    <t>He was awarded the scholarship after showcasing his musical talents at an international competition.</t>
  </si>
  <si>
    <t>Because of rising sea levels, coastal cities have invested in advanced flood defense systems.</t>
  </si>
  <si>
    <t>These infrastructures are designed to protect against the increasing frequency of tidal surges.</t>
  </si>
  <si>
    <t>The introduction of a universal basic income reduced financial stress for many families in the pilot program.</t>
  </si>
  <si>
    <t>Some participants reported no change in their economic situation after receiving the monthly payments.</t>
  </si>
  <si>
    <t>A new AI algorithm was developed to detect early signs of Alzheimer's disease in patients.</t>
  </si>
  <si>
    <t>Early detection using the algorithm led to timely medical interventions in several cases.</t>
  </si>
  <si>
    <t>The software update included a patch to fix known security vulnerabilities.</t>
  </si>
  <si>
    <t>Users continued to experience data breaches after installing the update.</t>
  </si>
  <si>
    <t>The heavy rainfall over the weekend caused significant flooding in low-lying neighborhoods.</t>
  </si>
  <si>
    <t>Emergency services were deployed to assist residents trapped in the flooded areas.</t>
  </si>
  <si>
    <t>Because the telescope's lens was misaligned during calibration, the astronomical images appeared blurry.</t>
  </si>
  <si>
    <t>The calibration error had no effect on the image quality captured during observations.</t>
  </si>
  <si>
    <t>Physics</t>
  </si>
  <si>
    <t>The company implemented a four-day workweek to improve employee well-being and productivity.</t>
  </si>
  <si>
    <t>Employees reported higher job satisfaction and a reduction in burnout symptoms.</t>
  </si>
  <si>
    <t>After receiving several warnings, the student was suspended for violating the university's code of conduct.</t>
  </si>
  <si>
    <t>The student continued attending all classes without any disciplinary action taken.</t>
  </si>
  <si>
    <t>Due to the increased demand for electric vehicles, battery production facilities expanded their operations.</t>
  </si>
  <si>
    <t>Some factories even doubled their output to meet the rising global need.</t>
  </si>
  <si>
    <t>Following the data breach, customers lost trust in the online platform’s security protocols.</t>
  </si>
  <si>
    <t>Surveys showed customer trust remained unaffected by the incident.</t>
  </si>
  <si>
    <t>The chef experimented with different fermentation techniques to develop a unique flavor profile.</t>
  </si>
  <si>
    <t>The resulting dishes were praised for their distinctive and complex taste.</t>
  </si>
  <si>
    <t>Because of strict building codes in earthquake-prone zones, most new constructions included seismic reinforcements.</t>
  </si>
  <si>
    <t>Older buildings without retrofitting collapsed during the recent tremor.</t>
  </si>
  <si>
    <t>The wildfire spread rapidly due to strong winds and dry vegetation.</t>
  </si>
  <si>
    <t>Authorities had preemptively evacuated several towns before the flames reached them.</t>
  </si>
  <si>
    <t>Her persistent migraines were eventually linked to a rare neurological disorder.</t>
  </si>
  <si>
    <t>Despite extensive testing, no medical cause for her headaches was found.</t>
  </si>
  <si>
    <t>To protect endangered bird species, a conservation group restricted human access to nesting areas during mating season.</t>
  </si>
  <si>
    <t>Despite the restrictions, bird populations continued to decline.</t>
  </si>
  <si>
    <t>After introducing flexible schedules, the company observed a measurable increase in team output.</t>
  </si>
  <si>
    <t>Productivity metrics showed little to no change despite the new policy.</t>
  </si>
  <si>
    <t>The lack of proper insulation in the building caused high energy bills during winter.</t>
  </si>
  <si>
    <t>Residents petitioned the management to upgrade the thermal efficiency of their apartments.</t>
  </si>
  <si>
    <t>Because of a prolonged heatwave, several reservoirs reached critically low levels.</t>
  </si>
  <si>
    <t>Water conservation measures were implemented to avoid a supply crisis.</t>
  </si>
  <si>
    <t>His decision to ignore medical advice and delay surgery led to severe complications.</t>
  </si>
  <si>
    <t>He made a full recovery without undergoing any medical procedure.</t>
  </si>
  <si>
    <t>To boost local tourism, the city organized a month-long cultural festival with free events.</t>
  </si>
  <si>
    <t>The festival attracted thousands of visitors and increased hotel occupancy rates.</t>
  </si>
  <si>
    <t>After the policy banning plastic bags took effect, retailers began offering reusable alternatives.</t>
  </si>
  <si>
    <t>Most customers continued using disposable plastic bags despite the ban.</t>
  </si>
  <si>
    <t>Due to the discovery of mold in the ventilation system, the school was temporarily closed for cleaning.</t>
  </si>
  <si>
    <t>Students resumed classes online while the building was being sanitized.</t>
  </si>
  <si>
    <t>The new legislation provided tax incentives for businesses that reduced carbon emissions.</t>
  </si>
  <si>
    <t>Several companies invested in cleaner technologies to qualify for the incentives.</t>
  </si>
  <si>
    <t>Despite implementing advanced encryption protocols, the website remained vulnerable to cyberattacks.</t>
  </si>
  <si>
    <t>The encryption ensured the complete security of all user data.</t>
  </si>
  <si>
    <t>The merger between the two tech firms resulted in a broader product lineup and increased market share.</t>
  </si>
  <si>
    <t>Analysts noted the merger had no noticeable impact on either company's performance.</t>
  </si>
  <si>
    <t>Following an extended power outage, the refrigerated goods in several stores spoiled.</t>
  </si>
  <si>
    <t>Health inspectors had to discard large quantities of perishable inventory.</t>
  </si>
  <si>
    <t>The decline in honeybee populations due to pesticide use triggered concerns among agricultural experts.</t>
  </si>
  <si>
    <t>Beekeepers reported a steady increase in hive productivity over the past year.</t>
  </si>
  <si>
    <t>To reduce screen addiction among teenagers, the school restricted mobile phone usage during class hours.</t>
  </si>
  <si>
    <t>Students spent more time interacting with peers face-to-face as a result.</t>
  </si>
  <si>
    <t>Because of the harsh winter storm, all public transportation services were suspended for 48 hours.</t>
  </si>
  <si>
    <t>Trains and buses operated on their usual schedule despite the weather warnings.</t>
  </si>
  <si>
    <t>Researchers found a link between prolonged social media use and increased anxiety in adolescents.</t>
  </si>
  <si>
    <t>As a result, several schools began integrating digital well-being programs.</t>
  </si>
  <si>
    <t>The goalkeeper’s red card in the 30th minute forced the team to play with ten men for the rest of the match.</t>
  </si>
  <si>
    <t>The team had to play a man down after the goalkeeper was sent off early in the game.</t>
  </si>
  <si>
    <t>The sudden downpour made the pitch waterlogged and unplayable, leading to the game’s cancellation.</t>
  </si>
  <si>
    <t>The match was called off because the field conditions were deemed too dangerous due to excessive water.</t>
  </si>
  <si>
    <t>Due to a torn ACL sustained during training, the striker was sidelined for the remainder of the season.</t>
  </si>
  <si>
    <t>The striker was ruled out for the season after suffering a serious knee injury in practice.</t>
  </si>
  <si>
    <t>The forward was benched because he missed multiple training sessions without notice.</t>
  </si>
  <si>
    <t>The coach decided to start the forward as he had been exceptionally punctual in recent practices.</t>
  </si>
  <si>
    <t>The referee ended the game prematurely because of fan violence erupting in the stands.</t>
  </si>
  <si>
    <t>The match continued to its full 90 minutes without any disturbances.</t>
  </si>
  <si>
    <t>The manager was fired after the team lost seven consecutive games.</t>
  </si>
  <si>
    <t>The club dismissed the manager due to the team's record-breaking winning streak.</t>
  </si>
  <si>
    <t>The match was delayed because the away team’s bus was stuck in traffic.</t>
  </si>
  <si>
    <t>The game started late due to a technical fault with the stadium lights.</t>
  </si>
  <si>
    <t>The midfielder was substituted in the second half as a precaution after feeling tightness in his hamstring.</t>
  </si>
  <si>
    <t>The player left the field early because he was shown a second yellow card.</t>
  </si>
  <si>
    <t>The striker missed the penalty because he slipped just as he was about to strike the ball.</t>
  </si>
  <si>
    <t>The striker failed to convert the penalty due to a poor decision on shot placement.</t>
  </si>
  <si>
    <t>The team secured the league title after their closest rivals lost their penultimate game.</t>
  </si>
  <si>
    <t>Their championship win was a result of consistent victories throughout the season.</t>
  </si>
  <si>
    <t>The midfielder’s consistent assists throughout the season earned him the Best Playmaker award.</t>
  </si>
  <si>
    <t>He won the award because his vision and passing consistently created goal-scoring opportunities.</t>
  </si>
  <si>
    <t>After failing to qualify for the Champions League, the club’s revenue dropped significantly.</t>
  </si>
  <si>
    <t>The club experienced a financial decline after missing out on European competition.</t>
  </si>
  <si>
    <t>The player was suspended after being found guilty of using a banned substance.</t>
  </si>
  <si>
    <t>The governing body imposed a ban on the athlete following the results of a drug test.</t>
  </si>
  <si>
    <t>The home side was awarded a penalty after the defender clearly handled the ball inside the box.</t>
  </si>
  <si>
    <t>The referee ignored a blatant handball incident in the penalty area.</t>
  </si>
  <si>
    <t>The game was postponed due to a thunderstorm that rolled in 15 minutes before kickoff.</t>
  </si>
  <si>
    <t>The match proceeded on schedule despite forecasts of severe weather.</t>
  </si>
  <si>
    <t>The goalkeeper’s stunning saves kept the scoreline level until the final whistle.</t>
  </si>
  <si>
    <t>The game ended in a draw thanks to the keeper’s heroic efforts.</t>
  </si>
  <si>
    <t>The captain was sidelined after suffering a concussion during the first half.</t>
  </si>
  <si>
    <t>He was removed from the game because of a head injury sustained before halftime.</t>
  </si>
  <si>
    <t>The team advanced to the semifinals after defeating their rivals in a dramatic penalty shootout.</t>
  </si>
  <si>
    <t>Their victory in the shootout secured them a place in the next round.</t>
  </si>
  <si>
    <t>The coach was criticized for substituting the top scorer early in the second half.</t>
  </si>
  <si>
    <t>Fans questioned the decision to remove the leading goal scorer just after halftime.</t>
  </si>
  <si>
    <t>The midfielder’s red card led to a tactical reshuffle that left the defense exposed.</t>
  </si>
  <si>
    <t>The team became vulnerable defensively after they went down to ten men.</t>
  </si>
  <si>
    <t>The striker was praised after scoring a hat trick that turned the game around.</t>
  </si>
  <si>
    <t>His trio of goals was the main reason his team came back from a two-goal deficit.</t>
  </si>
  <si>
    <t>The defender received praise for his composure under pressure in the final minutes.</t>
  </si>
  <si>
    <t>The defender was widely criticized for making panicked clearances near the end of the match.</t>
  </si>
  <si>
    <t>The referee added five minutes of stoppage time due to prolonged injury breaks.</t>
  </si>
  <si>
    <t>The match ended on the 90-minute mark with no added time given.</t>
  </si>
  <si>
    <t>The team’s top scorer was transferred to a European club during the January window.</t>
  </si>
  <si>
    <t>The striker remained with the squad throughout the season and didn’t change clubs.</t>
  </si>
  <si>
    <t>The goalkeeper broke the record for most clean sheets in a single season.</t>
  </si>
  <si>
    <t>He failed to register a single clean sheet throughout the campaign.</t>
  </si>
  <si>
    <t>The crowd erupted in celebration as the underdog team netted a late equalizer.</t>
  </si>
  <si>
    <t>The stadium remained eerily silent when the away team scored in the final minute.</t>
  </si>
  <si>
    <t>The club president resigned after a series of financial scandals came to light.</t>
  </si>
  <si>
    <t>The president voluntarily stepped down to pursue a career in politics.</t>
  </si>
  <si>
    <t>The fans boycotted the game because of rising ticket prices.</t>
  </si>
  <si>
    <t>The low attendance at the match was attributed to poor weather conditions.</t>
  </si>
  <si>
    <t>The midfielder retired due to recurring injuries that hampered his performance.</t>
  </si>
  <si>
    <t>The player ended his career to focus on starting a youth academy.</t>
  </si>
  <si>
    <t>The team canceled its preseason tour due to rising travel restrictions.</t>
  </si>
  <si>
    <t>The cancellation of the preseason matches was caused by internal budget cuts.</t>
  </si>
  <si>
    <t>The Amazon rainforest, covering over five million square kilometers, is often referred to as the planet's lungs due to its vast oxygen production.</t>
  </si>
  <si>
    <t>Glaciers have been steadily retreating since the early 20th century due to rising global temperatures.</t>
  </si>
  <si>
    <t>The Amazon rainforest is smaller than two million square kilometers.</t>
  </si>
  <si>
    <t>Glaciers have expanded in recent decades because of dropping global temperatures.</t>
  </si>
  <si>
    <t>The Great Barrier Reef hosts an incredible diversity of marine life, including over 1,500 species of fish.</t>
  </si>
  <si>
    <t>The Great Barrier Reef has very limited biodiversity and only supports a few fish species.</t>
  </si>
  <si>
    <t>Photosynthesis in plants converts carbon dioxide and sunlight into oxygen and glucose.</t>
  </si>
  <si>
    <t>Photosynthesis is the process by which plants turn sunlight and carbon dioxide into food and oxygen.</t>
  </si>
  <si>
    <t>Desert ecosystems are characterized by extreme temperature fluctuations and scarce water sources.</t>
  </si>
  <si>
    <t>Deserts tend to have cold and dry nights but are otherwise relatively stable environments.</t>
  </si>
  <si>
    <t>Temperate forests experience all four seasons distinctly, with a noticeable change in foliage during autumn.</t>
  </si>
  <si>
    <t>Tropical rainforests do not experience seasonal changes in the same way temperate forests do.</t>
  </si>
  <si>
    <t>The Arctic fox has evolved to survive frigid temperatures through its dense fur and compact body shape.</t>
  </si>
  <si>
    <t>The Arctic fox has developed thick fur and a small body to endure the harsh cold of its habitat.</t>
  </si>
  <si>
    <t>A volcanic eruption can instantly devastate entire ecosystems, leaving behind barren landscapes.</t>
  </si>
  <si>
    <t>Volcanic eruptions gradually enrich the soil over centuries without causing immediate destruction.</t>
  </si>
  <si>
    <t>Coral bleaching occurs when corals expel the symbiotic algae living in their tissues due to environmental stress.</t>
  </si>
  <si>
    <t>Coral bleaching is caused by a lack of sunlight during seasonal changes.</t>
  </si>
  <si>
    <t>The monarch butterfly migrates thousands of kilometers each year to reach its wintering grounds in Mexico.</t>
  </si>
  <si>
    <t>The monarch butterfly remains in the same location throughout the year.</t>
  </si>
  <si>
    <t>Deforestation leads to habitat loss and contributes significantly to biodiversity decline.</t>
  </si>
  <si>
    <t>Many species lose their homes and die out as forests are cleared for agriculture and development.</t>
  </si>
  <si>
    <t>Mountain ecosystems support a unique array of flora and fauna adapted to high altitudes and colder climates.</t>
  </si>
  <si>
    <t>Lowland tropical forests have a similar array of species as high-altitude mountains.</t>
  </si>
  <si>
    <t>Some scientists argue that rewilding is essential for restoring ecological balance, especially in degraded habitats.</t>
  </si>
  <si>
    <t>Rewilding is a harmful intervention that disrupts natural processes and should be avoided.</t>
  </si>
  <si>
    <t>The wetlands serve as natural water filters and act as buffers during floods.</t>
  </si>
  <si>
    <t>Wetlands help improve water quality and reduce flood damage.</t>
  </si>
  <si>
    <t>Cloud forests are frequently enveloped in mist, maintaining high humidity that supports diverse mosses and orchids.</t>
  </si>
  <si>
    <t>Cloud forests are arid regions where few plants can survive due to limited rainfall.</t>
  </si>
  <si>
    <t>The polar bear is classified as a marine mammal due to its dependence on the ocean for hunting and survival.</t>
  </si>
  <si>
    <t>Polar bears are considered land mammals because they primarily live on ice and snow.</t>
  </si>
  <si>
    <t>The Sahara Desert is the largest hot desert in the world, with sand dunes stretching over thousands of kilometers.</t>
  </si>
  <si>
    <t>The Gobi Desert is the largest hot desert in the world.</t>
  </si>
  <si>
    <t>A mature oak tree can absorb over 45 pounds of carbon dioxide per year, contributing to climate regulation.</t>
  </si>
  <si>
    <t>Oak trees play a role in regulating the climate by sequestering carbon dioxide.</t>
  </si>
  <si>
    <t>Tidal marshes are among the most productive ecosystems, providing breeding grounds for numerous bird species.</t>
  </si>
  <si>
    <t>Tidal marshes are known primarily for their role in carbon storage rather than biodiversity.</t>
  </si>
  <si>
    <t>The formation of sedimentary rock layers takes thousands to millions of years through processes like compression and cementation.</t>
  </si>
  <si>
    <t>Sedimentary rocks are formed rapidly through lava cooling on the Earth’s surface.</t>
  </si>
  <si>
    <t>The boreal forest stretches across the Northern Hemisphere, primarily across Canada, Russia, and Scandinavia.</t>
  </si>
  <si>
    <t>The boreal forest is mostly found in equatorial regions near the tropics.</t>
  </si>
  <si>
    <t>Lightning-induced wildfires can help regenerate certain plant species by clearing underbrush and activating seed germination.</t>
  </si>
  <si>
    <t>Wildfires caused by lightning typically destroy ecosystems without offering any ecological benefits.</t>
  </si>
  <si>
    <t>Peatlands store more carbon than all the world’s forests combined, acting as major carbon sinks.</t>
  </si>
  <si>
    <t>Peatlands store significantly less carbon than forests and are not considered important for carbon sequestration.</t>
  </si>
  <si>
    <t>Rainforests are dense, evergreen forests found in regions with high annual rainfall and consistent temperatures.</t>
  </si>
  <si>
    <t>Rainforests are lush, green environments located in tropical climates with year-round rainfall.</t>
  </si>
  <si>
    <t>Alpine tundra ecosystems have short growing seasons, permafrost, and limited vegetation.</t>
  </si>
  <si>
    <t>Alpine tundra zones are rich in plant diversity and have long growing seasons similar to temperate regions.</t>
  </si>
  <si>
    <t>Sea otters play a keystone role in kelp forest ecosystems by controlling sea urchin populations.</t>
  </si>
  <si>
    <t>The absence of sea otters often leads to unchecked sea urchin growth, which damages kelp forests.</t>
  </si>
  <si>
    <t>Natural selection favors traits that improve an organism's chances of survival and reproduction in its environment.</t>
  </si>
  <si>
    <t>Traits that reduce survival likelihood are more likely to be passed on through natural selection.</t>
  </si>
  <si>
    <t>Seasonal bird migration allows species to exploit resources in different geographic areas throughout the year.</t>
  </si>
  <si>
    <t>Birds migrate seasonally to take advantage of varying regional resources.</t>
  </si>
  <si>
    <t>Freshwater ecosystems, such as rivers and lakes, host diverse organisms including amphibians, aquatic plants, and insects.</t>
  </si>
  <si>
    <t>Freshwater habitats are dominated by reptiles and mammals with minimal aquatic life.</t>
  </si>
  <si>
    <t>Old-growth forests are defined by their long ecological continuity, complex structure, and rich biodiversity.</t>
  </si>
  <si>
    <t>Old-growth forests are defined by their young trees and uniform structure.</t>
  </si>
  <si>
    <t>Urbanization often leads to habitat fragmentation, making it difficult for wildlife to maintain healthy populations.</t>
  </si>
  <si>
    <t>Fragmented habitats can still support robust wildlife populations if managed carefully.</t>
  </si>
  <si>
    <t>A geyser is a geothermal feature that intermittently erupts with water and steam due to underground heat and pressure.</t>
  </si>
  <si>
    <t>Geysers are known for their regular eruptions caused by thermal activity beneath the Earth's surface.</t>
  </si>
  <si>
    <t>Bees use complex dances to communicate the direction and distance of food sources to other members of the hive.</t>
  </si>
  <si>
    <t>Bees rely primarily on sound and vocalization to guide each other to food.</t>
  </si>
  <si>
    <t>The ozone layer shields the Earth from harmful ultraviolet radiation emitted by the sun.</t>
  </si>
  <si>
    <t>Without the ozone layer, life on Earth would be more exposed to UV rays.</t>
  </si>
  <si>
    <t>Redwood trees can exceed 100 meters in height, making them among the tallest living organisms on the planet.</t>
  </si>
  <si>
    <t>Redwood trees rarely grow taller than 40 meters and are considered medium-sized trees.</t>
  </si>
  <si>
    <t>Coral reefs rely on a delicate balance of temperature, salinity, and light to maintain their complex ecosystems.</t>
  </si>
  <si>
    <t>Coral reefs thrive regardless of changes in temperature and light availability.</t>
  </si>
  <si>
    <t>Wind pollination is common among grasses and coniferous trees, which produce large amounts of lightweight pollen.</t>
  </si>
  <si>
    <t>Grasses and conifers often depend on insects for pollination.</t>
  </si>
  <si>
    <t>Sand dunes in coastal regions are shaped by prevailing winds and stabilized by vegetation like grasses and shrubs.</t>
  </si>
  <si>
    <t>Sand dunes in coastal areas are shaped by waves and tides rather than wind.</t>
  </si>
  <si>
    <t>The migration of caribou spans hundreds of kilometers annually as they move between calving and wintering grounds.</t>
  </si>
  <si>
    <t>Caribou migrate long distances between breeding and wintering areas every year.</t>
  </si>
  <si>
    <t>Deep-sea ecosystems often rely on chemosynthesis, where bacteria use hydrogen sulfide from hydrothermal vents as an energy source.</t>
  </si>
  <si>
    <t>Hydrothermal vents support life by providing a chemical energy source in the absence of sunlight.</t>
  </si>
  <si>
    <t>The tiger stalked silently through the dense jungle, its amber eyes fixed on the deer.</t>
  </si>
  <si>
    <t>The large striped feline moved stealthily through thick vegetation, its focus entirely on the grazing animal.</t>
  </si>
  <si>
    <t>During the final moments of the match, the striker scored with a brilliant bicycle kick, securing a 2-1 victory.</t>
  </si>
  <si>
    <t>The team clinched a 2-1 win thanks to a spectacular overhead goal from the striker in the last few minutes.</t>
  </si>
  <si>
    <t>Clouds gathered ominously over the city, and soon a thunderstorm unleashed torrential rain.</t>
  </si>
  <si>
    <t>A fierce storm broke out after dark skies formed above the metropolitan area.</t>
  </si>
  <si>
    <t>The company released a new smartphone featuring a foldable display and AI-powered camera enhancements.</t>
  </si>
  <si>
    <t>A tech firm introduced an innovative mobile device with a bendable screen and intelligent camera upgrades.</t>
  </si>
  <si>
    <t>After a decade together, they decided to celebrate their anniversary with a quiet trip to the countryside.</t>
  </si>
  <si>
    <t>They marked ten years as a couple by retreating to a peaceful rural getaway.</t>
  </si>
  <si>
    <t>Legislation was passed unanimously to ban single-use plastics by 2027.</t>
  </si>
  <si>
    <t>A new law was approved by all members, targeting the elimination of disposable plastic items within two years.</t>
  </si>
  <si>
    <t>The cake had layers of hazelnut mousse, dark chocolate ganache, and a crunchy praline base.</t>
  </si>
  <si>
    <t>The dessert featured a praline bottom, chocolate layers, and a mousse made from hazelnuts.</t>
  </si>
  <si>
    <t>The penguins waddled across the icy terrain, huddling together for warmth.</t>
  </si>
  <si>
    <t>A group of penguins moved awkwardly over frozen ground, staying close to preserve heat.</t>
  </si>
  <si>
    <t>The quarterback threw a 60-yard pass into the end zone just before the buzzer.</t>
  </si>
  <si>
    <t>Right before the game ended, the quarterback launched a long throw that resulted in a touchdown.</t>
  </si>
  <si>
    <t>The old oak tree in the garden was cut down after it became infected with a rare fungus.</t>
  </si>
  <si>
    <t>A diseased oak in the yard was felled due to an unusual fungal infection.</t>
  </si>
  <si>
    <t>She won the race by a margin of five seconds, crossing the finish line at 3:05:17.</t>
  </si>
  <si>
    <t>Her official time was 3:05:17, five seconds ahead of the runner-up.</t>
  </si>
  <si>
    <t>The politician gave a passionate speech about climate change in front of a crowd of 5,000 people.</t>
  </si>
  <si>
    <t>A senator addressed an audience with a fervent talk on environmental issues.</t>
  </si>
  <si>
    <t>The cat leapt from the couch to the windowsill when it saw a bird outside.</t>
  </si>
  <si>
    <t>The animal sprang across the room, clearly startled by something outdoors.</t>
  </si>
  <si>
    <t>The novelist released her tenth book, a historical fiction set in 18th-century France.</t>
  </si>
  <si>
    <t>Her latest publication is a novel based in the 1700s, but it focuses on England rather than France.</t>
  </si>
  <si>
    <t>Literature</t>
  </si>
  <si>
    <t>The lake freezes every December, making it a popular spot for ice skating.</t>
  </si>
  <si>
    <t>Winter transforms the lake into a frozen playground, attracting skaters throughout the month.</t>
  </si>
  <si>
    <t>The new gaming console supports 8K resolution and features real-time ray tracing.</t>
  </si>
  <si>
    <t>The next-gen device offers ultra-high-definition visuals and cutting-edge lighting effects.</t>
  </si>
  <si>
    <t>On their road trip,they visited several national parks, including Yellowstone and Zion.</t>
  </si>
  <si>
    <t>They toured a variety of parks on their cross-country journey, though they skipped Yellowstone.</t>
  </si>
  <si>
    <t>The economist argued that inflation was a result of global supply chain disruptions.</t>
  </si>
  <si>
    <t>The speaker discussed rising prices but attributed them to increased consumer demand.</t>
  </si>
  <si>
    <t>The child was vaccinated on March 15th at the local clinic for measles and mumps.</t>
  </si>
  <si>
    <t>The clinic administered immunizations on March 15th, but only for influenza and tetanus.</t>
  </si>
  <si>
    <t>Although she claimed to support renewable energy, she consistently voted against green legislation.</t>
  </si>
  <si>
    <t>Her voting record revealed she opposed environmental reforms, contradicting her public statements.</t>
  </si>
  <si>
    <t>Scientists concluded that the earthquake occurred at 3:14 AM local time.</t>
  </si>
  <si>
    <t>Seismologists later corrected the quake's occurrence to 4:27 AM.</t>
  </si>
  <si>
    <t>The recipe calls for two tablespoons of sugar and a pinch of salt.</t>
  </si>
  <si>
    <t>It requires a generous amount of salt and only one tablespoon of sugar.</t>
  </si>
  <si>
    <t>The spacecraft entered Mars’ orbit successfully on July 17th, 2024.</t>
  </si>
  <si>
    <t>According to official data, the probe missed Mars orbit insertion on the stated date.</t>
  </si>
  <si>
    <t>He denied knowing the victim, yet surveillance footage shows them together the night before the incident.</t>
  </si>
  <si>
    <t>He admitted to being with the victim just hours before the incident occurred.</t>
  </si>
  <si>
    <t>The ancient manuscript was discovered in a cave near Jerusalem.</t>
  </si>
  <si>
    <t>The artifact was found in a desert far from any historical sites.</t>
  </si>
  <si>
    <t>She stated that meditation improves sleep quality and reduces anxiety.</t>
  </si>
  <si>
    <t>She argued that meditation has no effect on mental health or restfulness.</t>
  </si>
  <si>
    <t>The forecast predicted a 90% chance of rain throughout the weekend.</t>
  </si>
  <si>
    <t>Meteorologists expected mostly clear skies with only a 10% chance of showers.</t>
  </si>
  <si>
    <t>Installing the new software update resolved the app’s crashing issues.</t>
  </si>
  <si>
    <t>The update caused frequent crashes that hadn’t occurred before.</t>
  </si>
  <si>
    <t>The two theories cannot both be correct—they reach opposing conclusions about the nature of time.</t>
  </si>
  <si>
    <t>The theories support each other and arrive at the same conclusion regarding temporal mechanics.</t>
  </si>
  <si>
    <t>The lioness watched from the tall grasses, waiting for the perfect moment to pounce on the gazelle.</t>
  </si>
  <si>
    <t>Hidden in the savannah grass, the female lion patiently observed her prey, timing her attack precisely.</t>
  </si>
  <si>
    <t>The spacecraft was designed to operate autonomously during long interplanetary missions.</t>
  </si>
  <si>
    <t>The probe was built to function independently for extended journeys between planets.</t>
  </si>
  <si>
    <t>The violinist performed a complex concerto by Tchaikovsky during the evening gala.</t>
  </si>
  <si>
    <t>At the evening event, she played an intricate piece composed by Tchaikovsky on her violin.</t>
  </si>
  <si>
    <t>The bridge, built in the early 1900s, has withstood multiple earthquakes and floods.</t>
  </si>
  <si>
    <t>Constructed over a century ago, the bridge has survived numerous natural disasters.</t>
  </si>
  <si>
    <t>After months of negotiations, the two countries signed a trade agreement on January 12th.</t>
  </si>
  <si>
    <t>The nations finalized and signed their trade pact on the 12th of January, ending long talks.</t>
  </si>
  <si>
    <t>The chef garnished the dish with edible flowers and microgreens for an elegant presentation.</t>
  </si>
  <si>
    <t>Tiny greens and blossoms topped the plate, added by the chef to enhance its visual appeal.</t>
  </si>
  <si>
    <t>The research team published their findings in a peer-reviewed journal in March.</t>
  </si>
  <si>
    <t>Their study appeared in a scholarly publication in March following rigorous peer review.</t>
  </si>
  <si>
    <t>The two friends spent the afternoon hiking through the misty forest trails.</t>
  </si>
  <si>
    <t>They passed the day trekking among fog-shrouded paths in the woods.</t>
  </si>
  <si>
    <t>The ancient sculpture was carved from marble and displayed prominently at the museum entrance.</t>
  </si>
  <si>
    <t>Made of marble, the old statue stood near the museum's main doors.</t>
  </si>
  <si>
    <t>Art</t>
  </si>
  <si>
    <t>The detective examined the crime scene meticulously, noting every trace of evidence.</t>
  </si>
  <si>
    <t>Every piece of evidence was recorded with care as the investigator studied the scene closely.</t>
  </si>
  <si>
    <t>The meteor shower was visible from northern regions just before dawn.</t>
  </si>
  <si>
    <t>Observers in the north saw the meteors early in the morning, as expected.</t>
  </si>
  <si>
    <t>The student presented her findings using a detailed PowerPoint in front of the committee.</t>
  </si>
  <si>
    <t>She used visual aids to share the results of her project with a group of evaluators.</t>
  </si>
  <si>
    <t>That episode of the show was filmed in black and white to reflect the 1940s setting.</t>
  </si>
  <si>
    <t>The production chose a vintage look for an episode that mimics old film styles.</t>
  </si>
  <si>
    <t>TV Shows</t>
  </si>
  <si>
    <t>While vacationing in Spain, he picked up several phrases in Catalan.</t>
  </si>
  <si>
    <t>He learned some local expressions during his trip abroad.</t>
  </si>
  <si>
    <t>Travel</t>
  </si>
  <si>
    <t>The mountain pass remains closed until late spring due to heavy snowfall.</t>
  </si>
  <si>
    <t>The trail through the mountains often reopens sometime after April.</t>
  </si>
  <si>
    <t>The dog barked every time the mail was delivered, without fail.</t>
  </si>
  <si>
    <t>Each day the mail arrived, the pet would react noisily.</t>
  </si>
  <si>
    <t>The app syncs user data across devices using a secure cloud server.</t>
  </si>
  <si>
    <t>Information is shared between gadgets through encrypted online storage.</t>
  </si>
  <si>
    <t>The government announced a new housing initiative aimed at reducing homelessness.</t>
  </si>
  <si>
    <t>Officials proposed measures to address the housing crisis, though details are pending.</t>
  </si>
  <si>
    <t>The child said she had never visited the zoo before, but her mother shared photos from their trip last year.</t>
  </si>
  <si>
    <t>According to her mother, the child had been to the zoo at least once the previous year.</t>
  </si>
  <si>
    <t>The city council claimed crime had dropped by 12% this year, but police records show an 8% increase.</t>
  </si>
  <si>
    <t>Police data contradicts the council's statement, indicating a rise in crime instead.</t>
  </si>
  <si>
    <t>The seminar on artificial intelligence began at 10 AM sharp according to the event schedule.</t>
  </si>
  <si>
    <t>Attendees reported the session didn’t start until after 11 o’clock.</t>
  </si>
  <si>
    <t>The documentary argues that economic inequality is a result of systemic policy failures.</t>
  </si>
  <si>
    <t>The film suggests economic disparities stem from personal choices, not broader systems.</t>
  </si>
  <si>
    <t>The historic treaty was signed in Geneva in 1951.</t>
  </si>
  <si>
    <t>The agreement was formalized in Paris in 1951, not Geneva.</t>
  </si>
  <si>
    <t>History</t>
  </si>
  <si>
    <t>He stated that dark chocolate improves memory function and focus.</t>
  </si>
  <si>
    <t>He insisted that chocolate has no real cognitive benefits and is mostly placebo.</t>
  </si>
  <si>
    <t>The forecast predicted no chance of snow this weekend in the region.</t>
  </si>
  <si>
    <t>Snowfall warnings have been issued for the area over the weekend.</t>
  </si>
  <si>
    <t>The software license explicitly permits commercial use without restriction.</t>
  </si>
  <si>
    <t>The license terms prohibit any use of the software for commercial purposes.</t>
  </si>
  <si>
    <t>These two investment strategies cannot be implemented together due to conflicting risk models.</t>
  </si>
  <si>
    <t>Both methods are compatible and are often used in conjunction with one another.</t>
  </si>
  <si>
    <t>After spending two decades as a professional violinist, she now teaches music at a conservatory in Vienna.</t>
  </si>
  <si>
    <t>She transitioned from performing professionally on the violin for twenty years to teaching at a Viennese music school.</t>
  </si>
  <si>
    <t>The majestic Bengal tiger, known for its distinctive orange coat with black stripes, is primarily found in the forests of India.</t>
  </si>
  <si>
    <t>Bengal tigers, which are usually solid black in color, inhabit the open savannas of South Africa.</t>
  </si>
  <si>
    <t>The soccer match was delayed by an hour due to heavy rainfall that rendered the pitch unplayable.</t>
  </si>
  <si>
    <t>The game was postponed for sixty minutes because the downpour made the field unsuitable for play.</t>
  </si>
  <si>
    <t>Researchers have recently discovered a new species of octopus that uses coconut shells for shelter and camouflage.</t>
  </si>
  <si>
    <t>A new type of octopus was found that hides in coconuts, utilizing them as protective shelters.</t>
  </si>
  <si>
    <t>Despite her extensive experience in corporate law, she decided to pursue a career in wildlife conservation.</t>
  </si>
  <si>
    <t>Though she was well-versed in corporate law, she chose to change careers and work in preserving animal habitats.</t>
  </si>
  <si>
    <t>The newly constructed bridge, which cost approximately $75 million, connects the northern and southern districts of the city.</t>
  </si>
  <si>
    <t>A bridge worth nearly $200 million was built to link the east and west sides of the city.</t>
  </si>
  <si>
    <t>Climate models predict that global sea levels could rise by up to 1.1 meters by the end of the century due to polar ice melt.</t>
  </si>
  <si>
    <t>According to some forecasts, ocean levels may increase by a few centimeters this century, and ice melt is not considered a major factor.</t>
  </si>
  <si>
    <t>The astronaut completed her sixth mission to the International Space Station last year, setting a new record.</t>
  </si>
  <si>
    <t>She broke a record with her sixth trip to the ISS, which she finished in the previous year.</t>
  </si>
  <si>
    <t>The chef added saffron and smoked paprika to give the paella a distinctive flavor.</t>
  </si>
  <si>
    <t>He spiced the paella with turmeric and chili powder for a traditional taste.</t>
  </si>
  <si>
    <t>The CEO emphasized that the company's focus remains on sustainable growth and reducing environmental impact.</t>
  </si>
  <si>
    <t>The head of the company said their goal is to prioritize green expansion and lessen harm to the environment.</t>
  </si>
  <si>
    <t>During the late 1800s, steam-powered ships began to replace traditional sailing vessels for long-distance trade routes.</t>
  </si>
  <si>
    <t>Steamships became dominant over sailboats in commercial trade routes during the nineteenth century.</t>
  </si>
  <si>
    <t>She graduated from medical school in 2010 but didn't start practicing medicine until 2015 due to further specialization.</t>
  </si>
  <si>
    <t>She began working as a doctor immediately after finishing her degree in 2010.</t>
  </si>
  <si>
    <t>Many dog breeds, such as border collies and golden retrievers, are known for their intelligence and trainability.</t>
  </si>
  <si>
    <t>Some dogs like golden retrievers and border collies are considered among the smartest and easiest to train.</t>
  </si>
  <si>
    <t>The politician argued that increasing the minimum wage would reduce poverty and stimulate economic growth.</t>
  </si>
  <si>
    <t>He claimed that raising the minimum wage would lead to job losses and economic decline.</t>
  </si>
  <si>
    <t>The novel explores themes of redemption and loss through the lens of a troubled protagonist returning to his hometown.</t>
  </si>
  <si>
    <t>It tells the story of a man going back to his roots, confronting past mistakes, and dealing with grief and forgiveness.</t>
  </si>
  <si>
    <t>New data indicates that electric vehicles have significantly lower carbon emissions compared to traditional gasoline cars.</t>
  </si>
  <si>
    <t>Recent studies show electric cars produce slightly more carbon emissions than gasoline-powered ones.</t>
  </si>
  <si>
    <t>The cat leapt from the windowsill onto the bookshelf with impressive agility, narrowly missing a vase.</t>
  </si>
  <si>
    <t>With surprising grace, the feline jumped from the sill and almost knocked over a vase on the bookshelf.</t>
  </si>
  <si>
    <t>She believes that artificial intelligence will surpass human intelligence within the next five years.</t>
  </si>
  <si>
    <t>She thinks AI might reach or even exceed human intellect sometime in the next few decades.</t>
  </si>
  <si>
    <t>Though the bakery typically opens at 6 a.m., it started welcoming customers at 5 a.m. during the holiday season.</t>
  </si>
  <si>
    <t>The bakery, which always opens at 6 a.m., remained closed until 7 a.m. over the holidays.</t>
  </si>
  <si>
    <t>While giraffes are often admired for their height, their unique cardiovascular system also fascinates scientists.</t>
  </si>
  <si>
    <t>Giraffes are tall, but researchers are particularly intrigued by how their hearts handle blood pressure.</t>
  </si>
  <si>
    <t>The endangered leatherback sea turtle migrates thousands of miles annually to nest on tropical beaches.</t>
  </si>
  <si>
    <t>Leatherback turtles travel great distances every year to lay their eggs on warm, sandy shores.</t>
  </si>
  <si>
    <t>Although many people think bats are blind, they actually have good eyesight and also use echolocation.</t>
  </si>
  <si>
    <t>Bats are blind and rely entirely on echolocation to navigate.</t>
  </si>
  <si>
    <t>She painted a mural on the school wall depicting scenes from classic literature.</t>
  </si>
  <si>
    <t>The mural she created on the classroom wall showcased different genres of modern art.</t>
  </si>
  <si>
    <t>During the medieval period, knights were often granted land in exchange for military service.</t>
  </si>
  <si>
    <t>In the Middle Ages, warriors who pledged loyalty were rewarded with estates for their protection services.</t>
  </si>
  <si>
    <t>Smartphones have rapidly evolved, now featuring multiple cameras, biometric sensors, and AI-powered assistants.</t>
  </si>
  <si>
    <t>Mobile phones today include advanced features like facial recognition, several cameras, and virtual assistants.</t>
  </si>
  <si>
    <t>The bakery introduced gluten-free options last year after many customer requests.</t>
  </si>
  <si>
    <t>The bakery began offering vegan pastries due to a rise in dietary preferences.</t>
  </si>
  <si>
    <t>Despite the freezing temperatures, the marathon saw over 500 participants cross the finish line.</t>
  </si>
  <si>
    <t>Though the weather was below zero, hundreds of runners still completed the race.</t>
  </si>
  <si>
    <t>The company announced a 15% reduction in its workforce following declining quarterly profits.</t>
  </si>
  <si>
    <t>The organization revealed plans to hire new staff to expand operations after record-breaking earnings.</t>
  </si>
  <si>
    <t>Astronomers observed a distant star that emits radiation in an unusual pattern, challenging current models.</t>
  </si>
  <si>
    <t>A remote star was spotted giving off a peculiar radiation signature, which could lead to new astronomical theories.</t>
  </si>
  <si>
    <t>He tends to avoid confrontation and prefers to resolve conflicts through quiet negotiation.</t>
  </si>
  <si>
    <t>He generally stays out of arguments and likes handling disputes with calm discussion.</t>
  </si>
  <si>
    <t>Communication</t>
  </si>
  <si>
    <t>At the zoo, the children were especially fascinated by the way the meerkats stood upright to scan their surroundings.</t>
  </si>
  <si>
    <t>The kids enjoyed watching how the meerkats used their long tails to swing from tree branches.</t>
  </si>
  <si>
    <t>The novel was critically acclaimed for its portrayal of family dynamics and subtle humor.</t>
  </si>
  <si>
    <t>Critics praised the book for how it handled complex family relationships and its understated comedy.</t>
  </si>
  <si>
    <t>The spacecraft entered Mars' orbit successfully and will begin surface mapping next month.</t>
  </si>
  <si>
    <t>The probe is set to land on Jupiter’s moon Europa to analyze ice samples.</t>
  </si>
  <si>
    <t>During the town hall, the mayor emphasized the importance of infrastructure upgrades and green spaces.</t>
  </si>
  <si>
    <t>At the meeting, the mayor focused mainly on public safety and emergency response plans.</t>
  </si>
  <si>
    <t>The festival draws thousands of visitors each year with its mix of music, food, and art installations.</t>
  </si>
  <si>
    <t>The annual celebration attracts large crowds due to its blend of culinary experiences, music, and visual art.</t>
  </si>
  <si>
    <t>New safety regulations now require all trucks to undergo biannual inspections and emissions testing.</t>
  </si>
  <si>
    <t>Trucks are now required to be inspected and tested for emissions twice a year, under the new safety rules.</t>
  </si>
  <si>
    <t>She bought a hybrid car mainly for its environmental benefits and fuel efficiency.</t>
  </si>
  <si>
    <t>She purchased a sports car for its speed and performance capabilities.</t>
  </si>
  <si>
    <t>Transportation</t>
  </si>
  <si>
    <t>The ancient ruins were discovered beneath layers of volcanic ash, preserving them remarkably well.</t>
  </si>
  <si>
    <t>Volcanic ash helped maintain the integrity of the old structures found buried underground.</t>
  </si>
  <si>
    <t>He attends a poetry club every Thursday to share his latest work and receive feedback.</t>
  </si>
  <si>
    <t>He joins a fiction writing workshop weekly to present his short stories.</t>
  </si>
  <si>
    <t>After winning the chess championship three years in a row, he retired from competitive play.</t>
  </si>
  <si>
    <t>He retired after taking home the national chess title multiple consecutive times.</t>
  </si>
  <si>
    <t>The cat is sleeping on the couch.</t>
  </si>
  <si>
    <t>The cat is playing outside.</t>
  </si>
  <si>
    <t>Paris is the capital of France.</t>
  </si>
  <si>
    <t>Paris is the capital of Spain.</t>
  </si>
  <si>
    <t>He speaks five languages.</t>
  </si>
  <si>
    <t>He doesn't speak any languages.</t>
  </si>
  <si>
    <t>The sun is shining brightly.</t>
  </si>
  <si>
    <t>It is raining outside.</t>
  </si>
  <si>
    <t>She can't swim.</t>
  </si>
  <si>
    <t>She is a professional swimmer.</t>
  </si>
  <si>
    <t>Tom loves pizza.</t>
  </si>
  <si>
    <t>Tom doesn't like food.</t>
  </si>
  <si>
    <t>She enjoys reading books.</t>
  </si>
  <si>
    <t>She hates reading.</t>
  </si>
  <si>
    <t>He's feeling sick today.</t>
  </si>
  <si>
    <t>He went to work as usual.</t>
  </si>
  <si>
    <t>I've never been to Japan.</t>
  </si>
  <si>
    <t>I traveled to Japan last year.</t>
  </si>
  <si>
    <t>He prefers tea over coffee.</t>
  </si>
  <si>
    <t>He likes coffee better than tea.</t>
  </si>
  <si>
    <t>The team won the match.</t>
  </si>
  <si>
    <t>The team lost the match.</t>
  </si>
  <si>
    <t>He is always on time for meetings.</t>
  </si>
  <si>
    <t>He arrived late for the meeting.</t>
  </si>
  <si>
    <t>She loves reading books.</t>
  </si>
  <si>
    <t>She hates reading books.</t>
  </si>
  <si>
    <t>John has been alive for 30 years.</t>
  </si>
  <si>
    <t>John was born yesterday.</t>
  </si>
  <si>
    <t>I can run a marathon.</t>
  </si>
  <si>
    <t>I cannot walk a single mile.</t>
  </si>
  <si>
    <t>All dogs are friendly.</t>
  </si>
  <si>
    <t>Some dogs are dangerous.</t>
  </si>
  <si>
    <t>The movie was amazing!</t>
  </si>
  <si>
    <t>The movie was terrible.</t>
  </si>
  <si>
    <t>She is the best player on the team.</t>
  </si>
  <si>
    <t>She is the worst player on the team.</t>
  </si>
  <si>
    <t>An object in motion will continue moving unless acted on by an external force</t>
  </si>
  <si>
    <t>An object in motion will stop without any external force.</t>
  </si>
  <si>
    <t>The Earth orbits the Sun.</t>
  </si>
  <si>
    <t>The Sun orbits the Earth.</t>
  </si>
  <si>
    <t>The glass is full of water.</t>
  </si>
  <si>
    <t>The glass is completely empty.</t>
  </si>
  <si>
    <t>The sky is blue.</t>
  </si>
  <si>
    <t>The sky is green.</t>
  </si>
  <si>
    <t>She is a doctor.</t>
  </si>
  <si>
    <t>She is not a doctor.</t>
  </si>
  <si>
    <t>The weather is sunny.</t>
  </si>
  <si>
    <t>He owns a car.</t>
  </si>
  <si>
    <t>He does not own a car.</t>
  </si>
  <si>
    <t>The book is on the table.</t>
  </si>
  <si>
    <t>The book is under the table.</t>
  </si>
  <si>
    <t>The marathon winner was a man from Kenya.</t>
  </si>
  <si>
    <t>The marathon winner was a woman from Ethiopia.</t>
  </si>
  <si>
    <t>The recipe requires three eggs and some flour.</t>
  </si>
  <si>
    <t>The recipe doesn't use any eggs but requires sugar.</t>
  </si>
  <si>
    <t>Mount Everest is the tallest mountain on Earth.</t>
  </si>
  <si>
    <t>K2 is taller than Mount Everest.</t>
  </si>
  <si>
    <t>The concert was held indoors due to the rain.</t>
  </si>
  <si>
    <t>The concert was outdoors despite the clear skies.</t>
  </si>
  <si>
    <t>The spacecraft successfully landed on Mars last year.</t>
  </si>
  <si>
    <t>The spacecraft failed to land on Mars and remained in orbit.</t>
  </si>
  <si>
    <t>The scientist claimed the experiment was a success.</t>
  </si>
  <si>
    <t>The scientist stated the experiment was a failure.</t>
  </si>
  <si>
    <t>The painting was created by Van Gogh in 1889.</t>
  </si>
  <si>
    <t>The painting was a 21st-century digital reproduction.</t>
  </si>
  <si>
    <t>She always enjoyed hiking in the mountains.</t>
  </si>
  <si>
    <t>She has never set foot in a mountainous region.</t>
  </si>
  <si>
    <t>The castle was built in the medieval period.</t>
  </si>
  <si>
    <t>The castle was constructed during the 20th century.</t>
  </si>
  <si>
    <t>Every member of the team attended the meeting.</t>
  </si>
  <si>
    <t>Some members of the team skipped the meeting.</t>
  </si>
  <si>
    <t>The bridge was completed in 1892.</t>
  </si>
  <si>
    <t>The bridge collapsed before it was finished.</t>
  </si>
  <si>
    <t>She claims to love Italian food.</t>
  </si>
  <si>
    <t>She has always hated pizza and pasta.</t>
  </si>
  <si>
    <t>The professor praised the student's thesis.</t>
  </si>
  <si>
    <t>The professor called the thesis poorly written.</t>
  </si>
  <si>
    <t>The spacecraft successfully landed on Mars.</t>
  </si>
  <si>
    <t>The mission to Mars ended in failure before landing.</t>
  </si>
  <si>
    <t>Everyone in the neighborhood supports the new policy.</t>
  </si>
  <si>
    <t>Many residents have openly opposed the policy.</t>
  </si>
  <si>
    <t>The book was written entirely in English.</t>
  </si>
  <si>
    <t>The book is in a foreign language without any English.</t>
  </si>
  <si>
    <t>The plane departed at noon.</t>
  </si>
  <si>
    <t>The flight was delayed until late evening.</t>
  </si>
  <si>
    <t>She insisted that the package arrived yesterday.</t>
  </si>
  <si>
    <t>The courier confirmed the delivery is scheduled for tomorrow.</t>
  </si>
  <si>
    <t>The solar panels generate electricity during the day.</t>
  </si>
  <si>
    <t>The solar panels do not produce any power under sunlight.</t>
  </si>
  <si>
    <t>He always takes the bus to work.</t>
  </si>
  <si>
    <t>He prefers walking to his workplace every day.</t>
  </si>
  <si>
    <t>The weather forecast predicted heavy snowstorms across the region.</t>
  </si>
  <si>
    <t>Meteorologists reported clear skies and no precipitation for the next week.</t>
  </si>
  <si>
    <t>The committee unanimously approved the new environmental regulations.</t>
  </si>
  <si>
    <t>Several members of the committee opposed the proposed regulations during the vote.</t>
  </si>
  <si>
    <t>Her research paper was published in a prestigious journal last month.</t>
  </si>
  <si>
    <t>Her work has yet to be submitted for peer review or publication.</t>
  </si>
  <si>
    <t>The ancient manuscript was written in Old Latin by a Roman historian.</t>
  </si>
  <si>
    <t>The document was penned in Greek by a Byzantine scholar.</t>
  </si>
  <si>
    <t>The software update fixed several critical bugs reported by users.</t>
  </si>
  <si>
    <t>Users complained that the update introduced even more severe issues.</t>
  </si>
  <si>
    <t>The team won the championship by a wide margin.</t>
  </si>
  <si>
    <t>The team didn't make it past the semifinals.</t>
  </si>
  <si>
    <t>The patient adhered strictly to the prescribed medication schedule.</t>
  </si>
  <si>
    <t>Medical records show multiple missed doses over several weeks.</t>
  </si>
  <si>
    <t>The mansion's grand ballroom could host over 500 guests.</t>
  </si>
  <si>
    <t>The mansion has no ballroom and can only host small gatherings.</t>
  </si>
  <si>
    <t>The satellite transmitted high-resolution images of Earth back to the lab.</t>
  </si>
  <si>
    <t>The satellite failed to establish communication with the lab.</t>
  </si>
  <si>
    <t>Every employee at the company received a year-end bonus.</t>
  </si>
  <si>
    <t>Some employees reported not receiving any bonus this year.</t>
  </si>
  <si>
    <t>The sculpture depicts a fierce battle between mythical creatures.</t>
  </si>
  <si>
    <t>The artwork portrays a serene and peaceful countryside scene.</t>
  </si>
  <si>
    <t>The child wrote a heartfelt letter to Santa, asking for a new bike.</t>
  </si>
  <si>
    <t>The child doesn't believe in Santa and hasn't written any letters.</t>
  </si>
  <si>
    <t>The explorer documented his journey through the Amazon rainforest.</t>
  </si>
  <si>
    <t>He stated that he had never visited South America in his life.</t>
  </si>
  <si>
    <t>The construction project was completed three months ahead of schedule.</t>
  </si>
  <si>
    <t>The building is still under construction with no end in sight.</t>
  </si>
  <si>
    <t>The spaceship was designed to operate entirely on solar power.</t>
  </si>
  <si>
    <t>The spacecraft relies exclusively on nuclear energy for propulsion.</t>
  </si>
  <si>
    <t>The professor gave an engaging lecture on quantum mechanics.</t>
  </si>
  <si>
    <t>The professor was absent, and the class was canceled.</t>
  </si>
  <si>
    <t>The exhibit featured relics dating back to the 12th century.</t>
  </si>
  <si>
    <t>The display was entirely focused on futuristic technology.</t>
  </si>
  <si>
    <t>The novel's protagonist overcame incredible odds to achieve her goal.</t>
  </si>
  <si>
    <t>The protagonist failed to achieve her goal despite every effort.</t>
  </si>
  <si>
    <t>The bridge connecting the two cities collapsed after a severe storm.</t>
  </si>
  <si>
    <t>The bridge is fully operational and was unaffected by the weather.</t>
  </si>
  <si>
    <t>The project team submitted the final report to the stakeholders.</t>
  </si>
  <si>
    <t>The report is incomplete and has not been reviewed yet.</t>
  </si>
  <si>
    <t>The cat was curled up on the windowsill, basking in the sunlight.</t>
  </si>
  <si>
    <t>The cat was hiding under the bed, avoiding the cold and darkness.</t>
  </si>
  <si>
    <t>The country's economy grew at an unprecedented rate this quarter.</t>
  </si>
  <si>
    <t>Official data showed a sharp contraction in the economy over the same period.</t>
  </si>
  <si>
    <t>The museum hosted a collection of Impressionist paintings.</t>
  </si>
  <si>
    <t>The gallery specializes exclusively in contemporary abstract art.</t>
  </si>
  <si>
    <t>The experiment yielded groundbreaking results, confirming the hypothesis.</t>
  </si>
  <si>
    <t>The experiment failed to produce any significant findings.</t>
  </si>
  <si>
    <t>The document was signed by all parties involved in the agreement.</t>
  </si>
  <si>
    <t>The agreement was never signed or finalized by any of the parties.</t>
  </si>
  <si>
    <t>The library remained open late to accommodate students during finals.</t>
  </si>
  <si>
    <t>The library closed early due to renovations.</t>
  </si>
  <si>
    <t>The sculpture was carved entirely out of marble.</t>
  </si>
  <si>
    <t>The artist confirmed that the piece was made using bronze.</t>
  </si>
  <si>
    <t>She claimed to have never visited Paris in her life.</t>
  </si>
  <si>
    <t>She posted photos of her trip to the Eiffel Tower last summer.</t>
  </si>
  <si>
    <t>The train arrived at the station precisely on time.</t>
  </si>
  <si>
    <t>The passengers complained about the train being delayed for hours.</t>
  </si>
  <si>
    <t>The baby slept peacefully through the entire night.</t>
  </si>
  <si>
    <t>The parents reported being awake all night because the baby was crying.</t>
  </si>
  <si>
    <t>The politician promised to lower taxes during her campaign.</t>
  </si>
  <si>
    <t>She announced a tax increase in her first official speech.</t>
  </si>
  <si>
    <t>The cake was decorated with colorful frosting and fresh berries.</t>
  </si>
  <si>
    <t>The cake was plain with no decorations or additional toppings.</t>
  </si>
  <si>
    <t>The documentary explored the life of marine animals in the Pacific Ocean.</t>
  </si>
  <si>
    <t>The film focused solely on wildlife in the African savanna.</t>
  </si>
  <si>
    <t>The city experienced record-breaking rainfall this month.</t>
  </si>
  <si>
    <t>Meteorologists recorded no precipitation in the area this month.</t>
  </si>
  <si>
    <t>She claimed to be an expert pianist who performed worldwide.</t>
  </si>
  <si>
    <t>She admitted she had never learned to play a musical instrument.</t>
  </si>
  <si>
    <t>The summit was attended by representatives from every nation.</t>
  </si>
  <si>
    <t>Several countries were absent from the summit entirely.</t>
  </si>
  <si>
    <t>The patient reported a full recovery after the treatment.</t>
  </si>
  <si>
    <t>Doctors confirmed that the patient’s condition had worsened.</t>
  </si>
  <si>
    <t>The car was painted bright red to match the client's request.</t>
  </si>
  <si>
    <t>The vehicle was delivered in a shade of deep blue.</t>
  </si>
  <si>
    <t>The hotel room had a panoramic view of the ocean.</t>
  </si>
  <si>
    <t>The room overlooked a construction site and had no ocean view.</t>
  </si>
  <si>
    <t>The athlete claimed to have never used performance-enhancing drugs.</t>
  </si>
  <si>
    <t>A leaked report revealed positive drug test results from last year.</t>
  </si>
  <si>
    <t>The restaurant serves exclusively vegetarian dishes.</t>
  </si>
  <si>
    <t>The menu prominently features steak and other meat options.</t>
  </si>
  <si>
    <t>The official report concluded that the project was completed on time.</t>
  </si>
  <si>
    <t>The same document cited multiple delays that extended the timeline.</t>
  </si>
  <si>
    <t>The local zoo is known for its extensive collection of reptiles.</t>
  </si>
  <si>
    <t>The zoo has no reptiles on display and specializes in birds instead.</t>
  </si>
  <si>
    <t>The flight departed at 8:00 AM as scheduled.</t>
  </si>
  <si>
    <t>The airline announced the flight was delayed by two hours.</t>
  </si>
  <si>
    <t>The machine was specifically designed to operate without batteries.</t>
  </si>
  <si>
    <t>The manual states that batteries are required for operation.</t>
  </si>
  <si>
    <t>The ancient vase was discovered intact in the archaeological dig.</t>
  </si>
  <si>
    <t>The artifact was found shattered into dozens of pieces.</t>
  </si>
  <si>
    <t>The research indicated that the drug significantly improved patient outcomes.</t>
  </si>
  <si>
    <t>The study concluded that the drug had no measurable effect.</t>
  </si>
  <si>
    <t>The suspect claimed he was at home during the time of the robbery.</t>
  </si>
  <si>
    <t>Security footage placed the suspect at the scene of the crime.</t>
  </si>
  <si>
    <t>The festival was canceled due to heavy rain.</t>
  </si>
  <si>
    <t>The event proceeded as planned under clear skies.</t>
  </si>
  <si>
    <t>The artist's painting featured vivid and bold colors.</t>
  </si>
  <si>
    <t>Critics described the artwork as monochromatic and muted.</t>
  </si>
  <si>
    <t>The road was closed for repairs and deemed impassable.</t>
  </si>
  <si>
    <t>Vehicles were seen driving through the area without any restrictions.</t>
  </si>
  <si>
    <t>The apartment complex includes a fully equipped gym for residents.</t>
  </si>
  <si>
    <t>There are no fitness facilities available in the building.</t>
  </si>
  <si>
    <t>The student excelled in her math class, receiving the highest grade.</t>
  </si>
  <si>
    <t>Her report card showed she failed the math course.</t>
  </si>
  <si>
    <t>The concert started promptly at 7:00 PM as advertised.</t>
  </si>
  <si>
    <t>Audience members complained about a two-hour delay in the start time.</t>
  </si>
  <si>
    <t>The recipe requires 2 cups of flour for the batter.</t>
  </si>
  <si>
    <t>The chef insisted that no flour is used in the dish at all.</t>
  </si>
  <si>
    <t>The spacecraft successfully landed on the surface of Mars.</t>
  </si>
  <si>
    <t>The mission control confirmed that the landing attempt had failed.</t>
  </si>
  <si>
    <t>The new policy reduced taxes for all middle-income households.</t>
  </si>
  <si>
    <t>Reports show that taxes for middle-income families were significantly increased.</t>
  </si>
  <si>
    <t>The team won the championship after an intense final match.</t>
  </si>
  <si>
    <t>The players expressed disappointment about losing in the final round.</t>
  </si>
  <si>
    <t>The ancient manuscript was written in Latin.</t>
  </si>
  <si>
    <t>Historians revealed that the text was actually in ancient Greek.</t>
  </si>
  <si>
    <t>The hikers followed a well-marked trail to reach the summit.</t>
  </si>
  <si>
    <t>They reported getting lost because there were no signs on the trail.</t>
  </si>
  <si>
    <t>The diamond necklace was sold for $1 million at the auction.</t>
  </si>
  <si>
    <t>The auctioneer confirmed that the necklace went unsold due to lack of bids.</t>
  </si>
  <si>
    <t>The car was advertised as having excellent fuel efficiency.</t>
  </si>
  <si>
    <t>Consumer reviews complained about its unusually high fuel consumption.</t>
  </si>
  <si>
    <t>The restaurant is famous for its vegan-only menu.</t>
  </si>
  <si>
    <t>The menu prominently features dishes with meat and seafood options.</t>
  </si>
  <si>
    <t>The software was designed to be compatible with all operating systems.</t>
  </si>
  <si>
    <t>Users reported that it only works on Windows-based computers.</t>
  </si>
  <si>
    <t>The building’s exterior was painted bright yellow last month.</t>
  </si>
  <si>
    <t>Photographs from last week show the building painted entirely white.</t>
  </si>
  <si>
    <t>The ancient ruins were discovered deep in the Amazon rainforest.</t>
  </si>
  <si>
    <t>Archaeologists confirmed the ruins were located in the Sahara Desert.</t>
  </si>
  <si>
    <t>The politician promised to implement stricter environmental regulations.</t>
  </si>
  <si>
    <t>He announced plans to loosen restrictions on industrial emissions.</t>
  </si>
  <si>
    <t>The library expanded its collection to include rare historical texts.</t>
  </si>
  <si>
    <t>Reports indicated that several valuable books were removed from the shelves.</t>
  </si>
  <si>
    <t>The painting was appraised at over a million dollars.</t>
  </si>
  <si>
    <t>The appraiser declared the artwork was a worthless forgery.</t>
  </si>
  <si>
    <t>The marathon route stretched through scenic mountain roads.</t>
  </si>
  <si>
    <t>Participants complained that the course was entirely flat and urban.</t>
  </si>
  <si>
    <t>The dessert contained no dairy products, making it suitable for vegans.</t>
  </si>
  <si>
    <t>The chef admitted it was made with cream and butter.</t>
  </si>
  <si>
    <t>The research found a strong link between sleep and cognitive performance.</t>
  </si>
  <si>
    <t>The study concluded there was no relationship between rest and mental function.</t>
  </si>
  <si>
    <t>The building was constructed entirely out of sustainable materials.</t>
  </si>
  <si>
    <t>Inspectors found it relied heavily on non-recyclable plastics.</t>
  </si>
  <si>
    <t>The company implemented policies to improve workplace diversity.</t>
  </si>
  <si>
    <t>Employees reported that hiring practices excluded minority groups.</t>
  </si>
  <si>
    <t>The smartphone was advertised as being completely waterproof.</t>
  </si>
  <si>
    <t>Users complained that water damage rendered their devices unusable.</t>
  </si>
  <si>
    <t>The athlete set a new personal record in the high jump competition.</t>
  </si>
  <si>
    <t>She failed to clear even the opening height of the event.</t>
  </si>
  <si>
    <t>The documentary explored the history of ancient Greek philosophy.</t>
  </si>
  <si>
    <t>Critics noted it exclusively covered 20th-century European thinkers.</t>
  </si>
  <si>
    <t>The actor claimed to have performed his own stunts in the action film.</t>
  </si>
  <si>
    <t>A stunt double confirmed they had done all the dangerous scenes.</t>
  </si>
  <si>
    <t>The museum displayed artifacts from the Roman Empire.</t>
  </si>
  <si>
    <t>Visitors found the exhibit focused solely on ancient Egyptian relics.</t>
  </si>
  <si>
    <t>The restaurant's menu was praised for being entirely gluten-free.</t>
  </si>
  <si>
    <t>Patrons discovered multiple dishes containing wheat flour.</t>
  </si>
  <si>
    <t>The children spent the afternoon building a sandcastle on the beach.</t>
  </si>
  <si>
    <t>Their parents said they stayed indoors all day due to bad weather.</t>
  </si>
  <si>
    <t>The scientist presented groundbreaking research on renewable energy.</t>
  </si>
  <si>
    <t>Peers criticized the study for being based on outdated fossil fuel data.</t>
  </si>
  <si>
    <t>The book was widely regarded as an accurate depiction of historical events.</t>
  </si>
  <si>
    <t>Historians denounced it for being filled with fabricated accounts.</t>
  </si>
  <si>
    <t>The city introduced a fleet of electric buses to reduce emissions.</t>
  </si>
  <si>
    <t>Reports showed that the buses were powered by diesel engines.</t>
  </si>
  <si>
    <t>The wedding ceremony took place outdoors in perfect weather.</t>
  </si>
  <si>
    <t>Guests described torrential rain that forced the event indoors.</t>
  </si>
  <si>
    <t>The climbers reached the summit of Mount Everest on their first attempt.</t>
  </si>
  <si>
    <t>Their guide confirmed they turned back before reaching the halfway point.</t>
  </si>
  <si>
    <t>The bakery is famous for its eggless cakes.</t>
  </si>
  <si>
    <t>Customers discovered that every cake contained eggs.</t>
  </si>
  <si>
    <t>The singer performed live at the charity concert last night.</t>
  </si>
  <si>
    <t>It was revealed that she was out of the country on that date.</t>
  </si>
  <si>
    <t>The building was recognized for its innovative earthquake-proof design.</t>
  </si>
  <si>
    <t>The structure collapsed during a minor tremor.</t>
  </si>
  <si>
    <t>The animal sanctuary only houses endangered species.</t>
  </si>
  <si>
    <t>Several animals in the sanctuary are common pets like cats and dogs.</t>
  </si>
  <si>
    <t>The explorer documented rare species found deep in the jungle.</t>
  </si>
  <si>
    <t>Her photos showed animals commonly seen in suburban neighborhoods.</t>
  </si>
  <si>
    <t>The novel was praised for its unique and original plot.</t>
  </si>
  <si>
    <t>Critics noted it was a direct copy of another book published years earlier.</t>
  </si>
  <si>
    <t>The chef prepared the dish following traditional French techniques.</t>
  </si>
  <si>
    <t>The recipe was inspired by modern Japanese fusion cooking.</t>
  </si>
  <si>
    <t>The spacecraft launched successfully into orbit on its first try.</t>
  </si>
  <si>
    <t>NASA reported that the mission had failed due to a launch pad explosion.</t>
  </si>
  <si>
    <t>The dog was adopted from a local animal shelter.</t>
  </si>
  <si>
    <t>The owner revealed they purchased it from a high-end breeder.</t>
  </si>
  <si>
    <t>The research lab confirmed their experiment yielded positive results.</t>
  </si>
  <si>
    <t>A peer review revealed that the results were inconclusive at best.</t>
  </si>
  <si>
    <t>The documentary was focused on exploring climate change solutions.</t>
  </si>
  <si>
    <t>Viewers noted it primarily discussed historical weather patterns.</t>
  </si>
  <si>
    <t>The city council approved the construction of a new sports complex.</t>
  </si>
  <si>
    <t>The project was rejected during the council meeting.</t>
  </si>
  <si>
    <t>The sculpture was made entirely out of recycled materials.</t>
  </si>
  <si>
    <t>It was revealed that the artwork was crafted from non-recyclable plastics.</t>
  </si>
  <si>
    <t>The factory produces environmentally friendly packaging.</t>
  </si>
  <si>
    <t>Investigations found that its products contain harmful chemicals.</t>
  </si>
  <si>
    <t>The author’s latest book is a fictional romance novel.</t>
  </si>
  <si>
    <t>Critics described it as a non-fictional memoir.</t>
  </si>
  <si>
    <t>The professor claimed his study had been peer-reviewed.</t>
  </si>
  <si>
    <t>Colleagues revealed the research had not undergone any external review.</t>
  </si>
  <si>
    <t>The park was bustling with visitors enjoying the sunny weather.</t>
  </si>
  <si>
    <t>Reports described the park as deserted due to heavy rain.</t>
  </si>
  <si>
    <t>The artwork was exhibited at the Louvre in Paris.</t>
  </si>
  <si>
    <t>Museum officials confirmed it was never displayed there.</t>
  </si>
  <si>
    <t>The bakery is known for its award-winning sourdough bread.</t>
  </si>
  <si>
    <t>Patrons complained about the bread being stale and poorly made.</t>
  </si>
  <si>
    <t>The marathon was postponed due to severe weather conditions.</t>
  </si>
  <si>
    <t>The event proceeded as planned without any delays.</t>
  </si>
  <si>
    <t>The package was delivered to the customer’s address this morning.</t>
  </si>
  <si>
    <t>Tracking records showed the delivery was scheduled for next week.</t>
  </si>
  <si>
    <t>The ship set sail from New York Harbor on Tuesday.</t>
  </si>
  <si>
    <t>The vessel was reported to be docked in San Francisco on the same day.</t>
  </si>
  <si>
    <t>The festival celebrated local cuisine and traditional crafts.</t>
  </si>
  <si>
    <t>Attendees noted there were no food vendors or craft stalls present.</t>
  </si>
  <si>
    <t>The spacecraft successfully landed on Mars after a six-month journey.</t>
  </si>
  <si>
    <t>The mission report stated that the spacecraft failed during launch.</t>
  </si>
  <si>
    <t>The bakery advertised its cakes as 100% organic.</t>
  </si>
  <si>
    <t>Customers discovered the ingredients list included artificial additives.</t>
  </si>
  <si>
    <t>The actor claimed he performed all his own stunts in the film.</t>
  </si>
  <si>
    <t>Behind-the-scenes footage showed a stunt double in every action scene.</t>
  </si>
  <si>
    <t>The research confirmed that the medication was safe for children.</t>
  </si>
  <si>
    <t>A later study revealed significant risks associated with its use in kids.</t>
  </si>
  <si>
    <t>The building was designed to be earthquake-resistant.</t>
  </si>
  <si>
    <t>It collapsed during a mild tremor, causing significant damage.</t>
  </si>
  <si>
    <t>The exhibition displayed authentic Renaissance paintings.</t>
  </si>
  <si>
    <t>Experts identified several pieces as modern forgeries.</t>
  </si>
  <si>
    <t>The novel received praise for its original and innovative plot.</t>
  </si>
  <si>
    <t>Critics noted that it heavily plagiarized another popular book.</t>
  </si>
  <si>
    <t>The hiking group reached the summit of the mountain by noon.</t>
  </si>
  <si>
    <t>The guide stated they turned back before completing the ascent.</t>
  </si>
  <si>
    <t>The spacecraft successfully landed on the moon after a week-long journey.</t>
  </si>
  <si>
    <t>Reports confirmed the spacecraft never left Earth's orbit.</t>
  </si>
  <si>
    <t>The artist claimed his sculpture was made entirely from recycled materials.</t>
  </si>
  <si>
    <t>Tests revealed that most of the sculpture consisted of newly mined metals.</t>
  </si>
  <si>
    <t>The company announced it would provide free healthcare to all employees.</t>
  </si>
  <si>
    <t>An internal memo revealed the company planned to cut healthcare benefits.</t>
  </si>
  <si>
    <t>The championship match ended with Team A winning in the final seconds.</t>
  </si>
  <si>
    <t>The scoreboard clearly showed Team B as the winner of the game.</t>
  </si>
  <si>
    <t>The museum's exhibit featured authentic artifacts from Ancient Greece.</t>
  </si>
  <si>
    <t>Experts discovered that many items in the exhibit were modern replicas.</t>
  </si>
  <si>
    <t>The author insisted her novel was a work of pure fiction.</t>
  </si>
  <si>
    <t>Interviews revealed the plot was based entirely on her real-life experiences.</t>
  </si>
  <si>
    <t>The bridge was designed to withstand winds up to 200 mph.</t>
  </si>
  <si>
    <t>A strong breeze caused the bridge to collapse entirely.</t>
  </si>
  <si>
    <t>The play was performed in its original language as written by Shakespeare.</t>
  </si>
  <si>
    <t>Audience members noted that it was entirely translated into modern English.</t>
  </si>
  <si>
    <t>The athlete won first place in the marathon by a wide margin.</t>
  </si>
  <si>
    <t>Event records showed she didn’t even finish the race.</t>
  </si>
  <si>
    <t>The teacher praised her students for scoring above average on the exam.</t>
  </si>
  <si>
    <t>The principal confirmed that the class had the lowest scores in the school.</t>
  </si>
  <si>
    <t>The library extended its hours to accommodate evening readers.</t>
  </si>
  <si>
    <t>Visitors found the library locked by mid-afternoon each day.</t>
  </si>
  <si>
    <t>The historic mansion was preserved exactly as it was built in 1820.</t>
  </si>
  <si>
    <t>Recent renovations added a modern swimming pool and glass walls.</t>
  </si>
  <si>
    <t>The software update fixed all major bugs in the system.</t>
  </si>
  <si>
    <t>Users reported an increase in crashes and glitches after the update.</t>
  </si>
  <si>
    <t>The pet adoption agency claimed all animals were vaccinated.</t>
  </si>
  <si>
    <t>Veterinary records showed many of the pets lacked vaccination certificates.</t>
  </si>
  <si>
    <t>The biologist’s experiment proved the plant could survive extreme droughts.</t>
  </si>
  <si>
    <t>Observations showed the plant withered within days of water deprivation.</t>
  </si>
  <si>
    <t>The train arrived at the station five minutes early.</t>
  </si>
  <si>
    <t>Passengers noted that the train was delayed by nearly an hour.</t>
  </si>
  <si>
    <t>The charity event raised millions for disaster relief efforts.</t>
  </si>
  <si>
    <t>Reports revealed the event only collected a few thousand dollars.</t>
  </si>
  <si>
    <t>The startup claimed its new product was fully biodegradable.</t>
  </si>
  <si>
    <t>Environmental tests indicated the material was non-recyclable and harmful.</t>
  </si>
  <si>
    <t>The professor stated he authored the textbook used in his class.</t>
  </si>
  <si>
    <t>The publisher confirmed the textbook was written by a completely different scholar.</t>
  </si>
  <si>
    <t>The festival celebrated local wildlife and environmental protection.</t>
  </si>
  <si>
    <t>Critics pointed out that the festival promoted industries harming local habitats.</t>
  </si>
  <si>
    <t>The politician promised to lower taxes during his term.</t>
  </si>
  <si>
    <t>Government records showed significant tax hikes under his administration.</t>
  </si>
  <si>
    <t>The team successfully climbed the mountain’s peak before sunset.</t>
  </si>
  <si>
    <t>Photographs showed the group camped halfway up the mountain overnight.</t>
  </si>
  <si>
    <t>The artist showcased her paintings in an exhibit attended by thousands.</t>
  </si>
  <si>
    <t>Local media reported that the gallery was empty throughout the event.</t>
  </si>
  <si>
    <t>The zoo’s new panda cub became an instant visitor favorite.</t>
  </si>
  <si>
    <t>Zoo officials later clarified that no panda cubs were born that year.</t>
  </si>
  <si>
    <t>The tech company announced its revolutionary battery would last a decade.</t>
  </si>
  <si>
    <t>Customer reviews noted the battery drained completely within hours.</t>
  </si>
  <si>
    <t>The neighborhood was praised for its eco-friendly architecture.</t>
  </si>
  <si>
    <t>The construction used large quantities of non-sustainable materials.</t>
  </si>
  <si>
    <t>The film was universally acclaimed as a masterpiece.</t>
  </si>
  <si>
    <t>Critics overwhelmingly rated it as the worst movie of the year.</t>
  </si>
  <si>
    <t>The local government planted trees along every major street.</t>
  </si>
  <si>
    <t>Satellite imagery showed no changes in the city’s green coverage.</t>
  </si>
  <si>
    <t>The event was canceled due to inclement weather.</t>
  </si>
  <si>
    <t>News coverage showed attendees enjoying perfect sunny skies during the event.</t>
  </si>
  <si>
    <t>The chef claimed the recipe was an original family creation.</t>
  </si>
  <si>
    <t>Food critics identified the dish as a replica from a popular cookbook.</t>
  </si>
  <si>
    <t>The bridge was closed for repairs over the weekend.</t>
  </si>
  <si>
    <t>Travelers reported crossing the bridge without any restrictions.</t>
  </si>
  <si>
    <t>The wildlife preserve banned all hunting activities.</t>
  </si>
  <si>
    <t>Visitors reported seeing authorized hunters within the reserve boundaries.</t>
  </si>
  <si>
    <t>Rules</t>
  </si>
  <si>
    <t>The train arrived at the station precisely at 8:00 a.m.</t>
  </si>
  <si>
    <t>Passengers reported it was delayed by over an hour.</t>
  </si>
  <si>
    <t>The chef claimed his new dish was entirely vegan.</t>
  </si>
  <si>
    <t>Reviews noted that the recipe included butter and cream.</t>
  </si>
  <si>
    <t>The expedition team reached the summit of the mountain.</t>
  </si>
  <si>
    <t>The group leader confirmed they had to turn back halfway.</t>
  </si>
  <si>
    <t>The lecture hall was packed with attendees eager to hear the keynote speaker.</t>
  </si>
  <si>
    <t>Photographs showed the venue completely empty during the event.</t>
  </si>
  <si>
    <t>The politician promised no new taxes during his term.</t>
  </si>
  <si>
    <t>Government records showed a series of tax increases under his administration.</t>
  </si>
  <si>
    <t>The art gallery featured exclusively modern art exhibits.</t>
  </si>
  <si>
    <t>Visitors noticed several Renaissance paintings on display.</t>
  </si>
  <si>
    <t>The scientist's findings supported the hypothesis on climate change.</t>
  </si>
  <si>
    <t>Peer reviews disproved the hypothesis entirely.</t>
  </si>
  <si>
    <t>The diplomat explicitly stated that the treaty would be signed by Friday.</t>
  </si>
  <si>
    <t>The official report confirmed that negotiations were still ongoing with no resolution in sight.</t>
  </si>
  <si>
    <t>The spacecraft successfully entered Mars' orbit, ready for scientific study.</t>
  </si>
  <si>
    <t>The mission control team announced that the spacecraft was lost during launch.</t>
  </si>
  <si>
    <t>The playwright's latest work was praised for its originality and depth.</t>
  </si>
  <si>
    <t>Critics widely denounced the play as a derivative and shallow attempt.</t>
  </si>
  <si>
    <t>The factory claimed their products met all international safety standards.</t>
  </si>
  <si>
    <t>An investigation revealed serious violations and unsafe materials being used.</t>
  </si>
  <si>
    <t>The patient reported significant improvement in symptoms after treatment.</t>
  </si>
  <si>
    <t>The doctor's notes stated that the condition had deteriorated substantially.</t>
  </si>
  <si>
    <t>The weather forecast predicted clear skies and sunshine for the weekend.</t>
  </si>
  <si>
    <t>Satellite data showed an incoming storm system with heavy rain expected.</t>
  </si>
  <si>
    <t>The research team concluded that the chemical was non-toxic to marine life.</t>
  </si>
  <si>
    <t>Subsequent studies found it to be lethal to several species of fish and coral.</t>
  </si>
  <si>
    <t>The company proudly announced its commitment to zero carbon emissions.</t>
  </si>
  <si>
    <t>Internal emails revealed plans to increase fossil fuel usage for production.</t>
  </si>
  <si>
    <t>The athlete was seen practicing intensely in preparation for the match.</t>
  </si>
  <si>
    <t>Video evidence confirmed that she was abroad on vacation during that time.</t>
  </si>
  <si>
    <t>The museum exhibit focused exclusively on pre-Columbian artifacts.</t>
  </si>
  <si>
    <t>Visitors reported seeing works from ancient Egypt prominently displayed.</t>
  </si>
  <si>
    <t>The CEO stated that layoffs were absolutely not on the agenda this quarter.</t>
  </si>
  <si>
    <t>Employees received notices of termination within 24 hours of the statement.</t>
  </si>
  <si>
    <t>The novel was lauded as a historical masterpiece by scholars worldwide.</t>
  </si>
  <si>
    <t>Its publication date was filled with errors and historical inaccuracies according to critics.</t>
  </si>
  <si>
    <t>The teacher claimed that the class had covered all necessary material for the test.</t>
  </si>
  <si>
    <t>Students reported that large portions of the curriculum were never discussed.</t>
  </si>
  <si>
    <t>The ocean conservation project saved over 500 endangered turtles this year.</t>
  </si>
  <si>
    <t>Reports indicated that the project's turtle populations had declined sharply.</t>
  </si>
  <si>
    <t>The city council promised to maintain green spaces without development.</t>
  </si>
  <si>
    <t>Residents discovered approved plans for a shopping mall in the largest park.</t>
  </si>
  <si>
    <t>The documentary claimed to present an unbiased view of global trade practices.</t>
  </si>
  <si>
    <t>Fact-checkers identified significant omissions favoring certain corporations.</t>
  </si>
  <si>
    <t>The suspect was seen fleeing the crime scene at midnight, according to security footage.</t>
  </si>
  <si>
    <t>No security footage exists of the suspect at the crime scene at any time.</t>
  </si>
  <si>
    <t>The witness testified under oath that she saw the defendant enter the victim’s house just before the murder.</t>
  </si>
  <si>
    <t>The witness claimed she had never seen the defendant near the victim’s residence.</t>
  </si>
  <si>
    <t>Surveillance footage clearly shows the suspect breaking into the bank vault at 2 AM.</t>
  </si>
  <si>
    <t>No footage places the suspect at the bank at any point during the night.</t>
  </si>
  <si>
    <t>The accused had a solid alibi, as he was attending a business conference in another city at the time of the crime.</t>
  </si>
  <si>
    <t>The accused was seen near the crime scene just minutes before the incident occurred.</t>
  </si>
  <si>
    <t>The crime rate in the city has dropped significantly over the past five years.</t>
  </si>
  <si>
    <t>The city is experiencing an unprecedented rise in criminal activity, worrying local authorities.</t>
  </si>
  <si>
    <t>A local gang has been identified as the main culprit behind the series of recent burglaries.</t>
  </si>
  <si>
    <t>Authorities suspect that a lone criminal is responsible for the recent string of home invasions.</t>
  </si>
  <si>
    <t>Eyewitness reports confirm that the car used in the heist was a black sedan with tinted windows.</t>
  </si>
  <si>
    <t>The vehicle involved in the heist was a white van with no distinguishing features.</t>
  </si>
  <si>
    <t>The suspect confessed to committing the arson after hours of interrogation.</t>
  </si>
  <si>
    <t>The suspect has consistently denied any involvement in the fire and maintains his innocence.</t>
  </si>
  <si>
    <t>The city council is planning to increase police patrols in high-crime areas to ensure public safety.</t>
  </si>
  <si>
    <t>Local authorities are considering reducing law enforcement presence in certain neighborhoods due to budget constraints.</t>
  </si>
  <si>
    <t>The convicted felon was sentenced to life imprisonment without parole for his crimes.</t>
  </si>
  <si>
    <t>The convicted felon received a reduced sentence and will be eligible for parole in ten years.</t>
  </si>
  <si>
    <t>The burglar managed to evade capture and remains at large, despite multiple police efforts.</t>
  </si>
  <si>
    <t>Law enforcement officials successfully apprehended the suspect responsible for the burglary last night.</t>
  </si>
  <si>
    <t>The investigation revealed that the suspect had meticulously planned the heist for months.</t>
  </si>
  <si>
    <t>Evidence suggests that the crime was spontaneous and unplanned.</t>
  </si>
  <si>
    <t>Authorities have confirmed that the stolen goods were recovered intact from an abandoned warehouse.</t>
  </si>
  <si>
    <t>Officials stated that the stolen merchandise has yet to be located and is presumed lost.</t>
  </si>
  <si>
    <t>An undercover officer infiltrated the gang and gathered crucial evidence leading to their arrest.</t>
  </si>
  <si>
    <t>The gang’s downfall was caused by an anonymous tip rather than any law enforcement infiltration.</t>
  </si>
  <si>
    <t>The suspect was last seen boarding a flight to a foreign country just hours after the crime occurred.</t>
  </si>
  <si>
    <t>The suspect was arrested at his home shortly after the crime took place.</t>
  </si>
  <si>
    <t>Recent police reports suggest an increase in violent crime across the metropolitan area.</t>
  </si>
  <si>
    <t>A new government report states that violent crime rates have remained stable over the past year.</t>
  </si>
  <si>
    <t>Authorities identified a financial motive behind the high-profile kidnapping case.</t>
  </si>
  <si>
    <t>Police reports suggest that revenge, rather than financial gain, was the primary motive for the abduction.</t>
  </si>
  <si>
    <t>The detective's report stated that the crime scene was completely undisturbed before the officers arrived.</t>
  </si>
  <si>
    <t>Investigators found clear evidence that the crime scene had been tampered with before their arrival.</t>
  </si>
  <si>
    <t>The crime wave in the district has surged dramatically over the past six months.</t>
  </si>
  <si>
    <t>Authorities have reported a steady decrease in crime rates within the district this year.</t>
  </si>
  <si>
    <t>The stolen jewelry was found hidden in the suspect’s home during a police raid.</t>
  </si>
  <si>
    <t>Law enforcement recovered the stolen valuables in an abandoned warehouse across town.</t>
  </si>
  <si>
    <t>The getaway vehicle used in the bank heist was a red sports car with a distinctive stripe.</t>
  </si>
  <si>
    <t>Police reports describe the getaway car as a black SUV with no identifiable markings.</t>
  </si>
  <si>
    <t>The fraud operation was conducted entirely online, with no physical contact between perpetrators and victims.</t>
  </si>
  <si>
    <t>The scammers met their victims in person, using face-to-face interactions to commit fraud.</t>
  </si>
  <si>
    <t>The suspect was positively identified by three eyewitnesses at the crime scene.</t>
  </si>
  <si>
    <t>Multiple witnesses stated that they could not recognize the suspect and were unsure of his identity.</t>
  </si>
  <si>
    <t>Investigators concluded that the suspect had meticulously planned the kidnapping months in advance.</t>
  </si>
  <si>
    <t>Authorities believe the abduction was carried out impulsively, with no prior planning.</t>
  </si>
  <si>
    <t>The organized crime syndicate was dismantled after a year-long investigation.</t>
  </si>
  <si>
    <t>Authorities continue to struggle in their efforts to take down the organized crime group.</t>
  </si>
  <si>
    <t>The defendant had an airtight alibi, proving he was out of the country when the crime happened.</t>
  </si>
  <si>
    <t>Court records show that the defendant was at a local restaurant on the night of the crime.</t>
  </si>
  <si>
    <t>Multiple residents in the neighborhood reported hearing gunshots late at night.</t>
  </si>
  <si>
    <t>A local resident stated that the night was eerily quiet with no unusual sounds reported.</t>
  </si>
  <si>
    <t>Authorities recovered all of the stolen goods and returned them to the rightful owners.</t>
  </si>
  <si>
    <t>Some of the stolen items are still missing, and investigators are searching for them.</t>
  </si>
  <si>
    <t>The armed robbery suspect was apprehended at his residence early in the morning.</t>
  </si>
  <si>
    <t>The suspect turned himself in at the police station later that afternoon.</t>
  </si>
  <si>
    <t>The police confirmed that the break-in was premeditated and carefully orchestrated.</t>
  </si>
  <si>
    <t>Investigators suspect the burglary was opportunistic and unplanned.</t>
  </si>
  <si>
    <t>The murder weapon was a rare antique dagger registered to the suspect.</t>
  </si>
  <si>
    <t>The victim was shot at close range, according to the autopsy report.</t>
  </si>
  <si>
    <t>The convicted felon is serving a life sentence with no possibility of parole.</t>
  </si>
  <si>
    <t>The same individual is expected to be released on parole in five years.</t>
  </si>
  <si>
    <t>The cybercriminals used advanced encryption techniques to cover their digital tracks.</t>
  </si>
  <si>
    <t>Investigators reported that the hackers left a traceable digital footprint, leading to their arrest.</t>
  </si>
  <si>
    <t>The defendant pleaded guilty to all charges in court.</t>
  </si>
  <si>
    <t>The defendant maintained his innocence throughout the trial, denying all allegations.</t>
  </si>
  <si>
    <t>The heist was carried out by a group of experienced criminals who had executed similar crimes before.</t>
  </si>
  <si>
    <t>The robbery was committed by a first-time offender with no prior criminal history.</t>
  </si>
  <si>
    <t>The security guard failed to notice the intruders entering the building.</t>
  </si>
  <si>
    <t>The security footage shows the guard alerting authorities as soon as the intruders arrived.</t>
  </si>
  <si>
    <t>The stolen diamonds were smuggled out of the country through a private jet.</t>
  </si>
  <si>
    <t>Investigators believe the diamonds never left the city and are still hidden locally.</t>
  </si>
  <si>
    <t>The pitcher threw a no-hitter in last night's game.</t>
  </si>
  <si>
    <t>The opposing team managed several hits during the game.</t>
  </si>
  <si>
    <t>The team’s star player was benched due to an injury.</t>
  </si>
  <si>
    <t>The star player started the game and played all nine innings.</t>
  </si>
  <si>
    <t>The game ended in a tie after nine innings.</t>
  </si>
  <si>
    <t>The home team won the game by a single run in the final inning.</t>
  </si>
  <si>
    <t>The player was traded to a rival team midway through the season.</t>
  </si>
  <si>
    <t>The player remained with the same team throughout the entire season.</t>
  </si>
  <si>
    <t>The stadium was packed with over 50,000 fans for the championship game.</t>
  </si>
  <si>
    <t>The crowd turnout for the championship game was disappointingly low.</t>
  </si>
  <si>
    <t>The game was postponed due to heavy rain and poor field conditions.</t>
  </si>
  <si>
    <t>The teams played through light rain, and the game concluded as scheduled.</t>
  </si>
  <si>
    <t>The batter swung at the first pitch and hit a double.</t>
  </si>
  <si>
    <t>The batter waited patiently and didn’t swing until the third pitch.</t>
  </si>
  <si>
    <t>The shortstop made an incredible diving catch to end the inning.</t>
  </si>
  <si>
    <t>The shortstop failed to reach the ball, allowing the runner to advance.</t>
  </si>
  <si>
    <t>The relief pitcher came in during the eighth inning and struck out all three batters he faced.</t>
  </si>
  <si>
    <t>The relief pitcher gave up two hits and a walk in the eighth inning.</t>
  </si>
  <si>
    <t>The visiting team took an early lead by scoring three runs in the first inning.</t>
  </si>
  <si>
    <t>The visiting team was held scoreless until the fourth inning.</t>
  </si>
  <si>
    <t>The catcher threw out the runner attempting to steal second base.</t>
  </si>
  <si>
    <t>The runner successfully stole second base without a throw from the catcher.</t>
  </si>
  <si>
    <t>The designated hitter hit three home runs in the same game.</t>
  </si>
  <si>
    <t>The designated hitter failed to reach base in the game.</t>
  </si>
  <si>
    <t>The outfielder robbed a home run by leaping over the wall.</t>
  </si>
  <si>
    <t>The batter’s home run cleared the fence beyond the outfielder’s reach.</t>
  </si>
  <si>
    <t>The starting pitcher lasted all nine innings and secured a complete-game shutout.</t>
  </si>
  <si>
    <t>The starting pitcher was pulled from the game after the fifth inning.</t>
  </si>
  <si>
    <t>The player signed a five-year contract extension with his team.</t>
  </si>
  <si>
    <t>The player became a free agent at the end of the season.</t>
  </si>
  <si>
    <t>The manager decided to intentionally walk the opposing team’s best hitter.</t>
  </si>
  <si>
    <t>The pitcher challenged the opposing team’s best hitter with fastballs in the strike zone.</t>
  </si>
  <si>
    <t>The sky is completely clear with no clouds.</t>
  </si>
  <si>
    <t>John loves hiking in the mountains.</t>
  </si>
  <si>
    <t>John enjoys spending time outdoors.</t>
  </si>
  <si>
    <t>He runs every morning.</t>
  </si>
  <si>
    <t>He enjoys running as a hobby.</t>
  </si>
  <si>
    <t>She is studying biology.</t>
  </si>
  <si>
    <t>She is attending a biology class.</t>
  </si>
  <si>
    <t>She is taller than her brother.</t>
  </si>
  <si>
    <t>Her brother is shorter than her.</t>
  </si>
  <si>
    <t>John is a brilliant mathematician.</t>
  </si>
  <si>
    <t>John solves complex equations easily.</t>
  </si>
  <si>
    <t>She went to the market to buy fruits.</t>
  </si>
  <si>
    <t>She bought some apples and bananas.</t>
  </si>
  <si>
    <t>Birds can fly.</t>
  </si>
  <si>
    <t>Birds are capable of flight.</t>
  </si>
  <si>
    <t>The Sun is orbited by the Earth.</t>
  </si>
  <si>
    <t>Water is essential for life.</t>
  </si>
  <si>
    <t>Living beings need water.</t>
  </si>
  <si>
    <t>Fire is hot.</t>
  </si>
  <si>
    <t>Fire produces heat.</t>
  </si>
  <si>
    <t>The couch is where the cat is sleeping.</t>
  </si>
  <si>
    <t>The boy who scored the highest in math was praised by his teacher.</t>
  </si>
  <si>
    <t>The top math student received recognition from the teacher.</t>
  </si>
  <si>
    <t>Every living cell contains DNA.</t>
  </si>
  <si>
    <t>All living organisms have genetic material in their cells.</t>
  </si>
  <si>
    <t>The train to Paris departs from platform 5 at 8 PM.</t>
  </si>
  <si>
    <t>Platform 5 is where the Paris-bound train leaves at 8 PM.</t>
  </si>
  <si>
    <t>Photosynthesis is the process by which plants make food.</t>
  </si>
  <si>
    <t>Plants create their own food using the photosynthesis process.</t>
  </si>
  <si>
    <t>The surgeon used advanced technology to perform the procedure.</t>
  </si>
  <si>
    <t>The operation utilized cutting-edge medical tools.</t>
  </si>
  <si>
    <t>The cat sat on the mat.</t>
  </si>
  <si>
    <t>There is a mat with a cat sitting on it.</t>
  </si>
  <si>
    <t>The conference begins at 9 AM on Monday.</t>
  </si>
  <si>
    <t>The event will start in the morning.</t>
  </si>
  <si>
    <t>He is fluent in French and German.</t>
  </si>
  <si>
    <t>He speaks French.</t>
  </si>
  <si>
    <t>He traveled to Japan last summer.</t>
  </si>
  <si>
    <t>He visited Asia last year.</t>
  </si>
  <si>
    <t>The novel has over 500 pages.</t>
  </si>
  <si>
    <t>The book is quite lengthy.</t>
  </si>
  <si>
    <t>The boy is reading a book under the tree.</t>
  </si>
  <si>
    <t>A child is engaged in reading outdoors.</t>
  </si>
  <si>
    <t>The museum houses several ancient artifacts.</t>
  </si>
  <si>
    <t>There are historical items in the museum.</t>
  </si>
  <si>
    <t>The car was parked near the shopping mall.</t>
  </si>
  <si>
    <t>The vehicle is close to the mall.</t>
  </si>
  <si>
    <t>The scientist discovered a new species of insect.</t>
  </si>
  <si>
    <t>A biologist identified an unknown insect.</t>
  </si>
  <si>
    <t>The chef prepared a gourmet meal for the guests.</t>
  </si>
  <si>
    <t>The guests were served an elaborate dish.</t>
  </si>
  <si>
    <t>The flowers in the garden bloom every spring.</t>
  </si>
  <si>
    <t>The garden has blooming flowers during springtime.</t>
  </si>
  <si>
    <t>The artist is known for his abstract sculptures.</t>
  </si>
  <si>
    <t>His work includes non-representational three-dimensional pieces.</t>
  </si>
  <si>
    <t>The school organizes an annual science fair.</t>
  </si>
  <si>
    <t>A science event is held every year at the school.</t>
  </si>
  <si>
    <t>The concert featured a world-renowned pianist.</t>
  </si>
  <si>
    <t>A famous musician performed at the event.</t>
  </si>
  <si>
    <t>The library is home to rare manuscripts and ancient texts.</t>
  </si>
  <si>
    <t>The collection includes unique historical documents.</t>
  </si>
  <si>
    <t>The child carefully arranged the blocks to build a tall tower.</t>
  </si>
  <si>
    <t>The child was constructing something using blocks.</t>
  </si>
  <si>
    <t>The company launched a groundbreaking product in the tech industry.</t>
  </si>
  <si>
    <t>The company introduced an innovative product to the market.</t>
  </si>
  <si>
    <t>The photographer captured stunning images of the northern lights.</t>
  </si>
  <si>
    <t>The photographer took pictures of a natural phenomenon in the sky.</t>
  </si>
  <si>
    <t>The library contains an extensive collection of historical manuscripts.</t>
  </si>
  <si>
    <t>The library houses old and valuable documents.</t>
  </si>
  <si>
    <t>The athlete trained rigorously for months leading up to the competition.</t>
  </si>
  <si>
    <t>The athlete prepared extensively for the event.</t>
  </si>
  <si>
    <t>The novel is set in a dystopian future where society is heavily regulated.</t>
  </si>
  <si>
    <t>The book's story takes place in a future with strict societal rules.</t>
  </si>
  <si>
    <t>The museum showcased artifacts from ancient Egyptian tombs.</t>
  </si>
  <si>
    <t>The exhibit featured items from historical burial sites in Egypt.</t>
  </si>
  <si>
    <t>The climbers reached the summit of the mountain after a challenging ascent.</t>
  </si>
  <si>
    <t>The group successfully climbed to the top of the mountain.</t>
  </si>
  <si>
    <t>The chef served a three-course meal to the guests at the banquet.</t>
  </si>
  <si>
    <t>The guests enjoyed a meal prepared by the chef.</t>
  </si>
  <si>
    <t>The scientist presented her findings at an international conference.</t>
  </si>
  <si>
    <t>The researcher shared her results with a global audience.</t>
  </si>
  <si>
    <t>The young girl drew a colorful picture of a butterfly.</t>
  </si>
  <si>
    <t>The child created a drawing of an insect.</t>
  </si>
  <si>
    <t>The factory produces thousands of units of electronic devices every week.</t>
  </si>
  <si>
    <t>The facility manufactures a large quantity of electronics.</t>
  </si>
  <si>
    <t>He spent the entire evening studying for his upcoming exam.</t>
  </si>
  <si>
    <t>He dedicated several hours to preparing for his test.</t>
  </si>
  <si>
    <t>The lecture covered the causes and impacts of the Industrial Revolution.</t>
  </si>
  <si>
    <t>The talk included a discussion on historical economic transformations.</t>
  </si>
  <si>
    <t>The chef prepared a meal with fresh vegetables from the garden.</t>
  </si>
  <si>
    <t>The dish included ingredients that were freshly harvested.</t>
  </si>
  <si>
    <t>The marathon runner crossed the finish line after two hours and ten minutes.</t>
  </si>
  <si>
    <t>The athlete completed the race in just over two hours.</t>
  </si>
  <si>
    <t>The local wildlife sanctuary provides a safe habitat for endangered species.</t>
  </si>
  <si>
    <t>The sanctuary is home to animals that are at risk of extinction.</t>
  </si>
  <si>
    <t>The orchestra played a symphony by Mozart during the evening concert.</t>
  </si>
  <si>
    <t>The musicians performed a classical composition.</t>
  </si>
  <si>
    <t>The author signed copies of her latest novel for fans at the event.</t>
  </si>
  <si>
    <t>She autographed her book during a public appearance.</t>
  </si>
  <si>
    <t>The scientist published a paper on the effects of climate change on marine ecosystems.</t>
  </si>
  <si>
    <t>Her research focused on how climate change impacts ocean life.</t>
  </si>
  <si>
    <t>The farmer planted rows of corn and wheat on his land.</t>
  </si>
  <si>
    <t>The fields were filled with crops like corn and wheat.</t>
  </si>
  <si>
    <t>The artist created a painting inspired by the colors of autumn.</t>
  </si>
  <si>
    <t>The artwork reflected the hues of fall leaves.</t>
  </si>
  <si>
    <t>The student answered every question correctly on the math test.</t>
  </si>
  <si>
    <t>The student achieved a perfect score on the exam.</t>
  </si>
  <si>
    <t>The house features a large backyard with a swimming pool.</t>
  </si>
  <si>
    <t>The property includes an outdoor space with a pool.</t>
  </si>
  <si>
    <t>The teacher explained the concept of gravity using simple experiments.</t>
  </si>
  <si>
    <t>The instructor demonstrated how gravity works through examples.</t>
  </si>
  <si>
    <t>The park includes a playground with swings and slides for children.</t>
  </si>
  <si>
    <t>The recreational area has equipment for kids to play on.</t>
  </si>
  <si>
    <t>The historical drama was based on real events from the 18th century.</t>
  </si>
  <si>
    <t>The film depicted actual happenings from the 1700s.</t>
  </si>
  <si>
    <t>The orchestra rehearsed for hours before their big performance.</t>
  </si>
  <si>
    <t>The musicians practiced extensively to prepare for the concert.</t>
  </si>
  <si>
    <t>The chef used organic ingredients to prepare the meal.</t>
  </si>
  <si>
    <t>The meal was made with ingredients that were organically sourced.</t>
  </si>
  <si>
    <t>The athlete broke the national record in the 100-meter race.</t>
  </si>
  <si>
    <t>The runner achieved the fastest 100-meter time in the country.</t>
  </si>
  <si>
    <t>The lawyer reviewed the case files thoroughly before the trial.</t>
  </si>
  <si>
    <t>The attorney examined all the documents related to the case.</t>
  </si>
  <si>
    <t>The castle is surrounded by a deep moat filled with water.</t>
  </si>
  <si>
    <t>The fortress has a water-filled ditch encircling it.</t>
  </si>
  <si>
    <t>The bakery specializes in gluten-free and vegan pastries.</t>
  </si>
  <si>
    <t>The shop offers pastries that cater to dietary restrictions.</t>
  </si>
  <si>
    <t>The orchestra performed a piece composed by Beethoven.</t>
  </si>
  <si>
    <t>The musicians played a work created by Beethoven.</t>
  </si>
  <si>
    <t>The library introduced a new section dedicated to young adult fiction.</t>
  </si>
  <si>
    <t>The library added a collection of books for teenagers.</t>
  </si>
  <si>
    <t>The scientist conducted experiments to test the hypothesis.</t>
  </si>
  <si>
    <t>The researcher carried out tests to validate the proposed idea.</t>
  </si>
  <si>
    <t>The hikers reached the peak of the mountain just before sunset.</t>
  </si>
  <si>
    <t>The group arrived at the mountain's summit in the evening.</t>
  </si>
  <si>
    <t>The hotel offered complimentary Wi-Fi to all its guests.</t>
  </si>
  <si>
    <t>Guests could access the internet for free at the hotel.</t>
  </si>
  <si>
    <t>The professor assigned weekly essays to her students.</t>
  </si>
  <si>
    <t>Students were tasked with writing essays every week.</t>
  </si>
  <si>
    <t>The farmer raised chickens for both eggs and meat.</t>
  </si>
  <si>
    <t>The farmer kept poultry for multiple purposes.</t>
  </si>
  <si>
    <t>The wildlife photographer captured images of rare migratory birds.</t>
  </si>
  <si>
    <t>The photographer took pictures of uncommon bird species during migration.</t>
  </si>
  <si>
    <t>The lecture included an overview of key events in World War II.</t>
  </si>
  <si>
    <t>The talk covered significant historical moments from the Second World War.</t>
  </si>
  <si>
    <t>The hotel’s rooftop offers a stunning view of the city skyline.</t>
  </si>
  <si>
    <t>Guests can enjoy panoramic views of the city from the hotel rooftop.</t>
  </si>
  <si>
    <t>The chef decorated the cake with edible flowers and fresh fruit.</t>
  </si>
  <si>
    <t>The cake was adorned with decorations that could be safely eaten.</t>
  </si>
  <si>
    <t>The farmer used organic methods to grow his crops.</t>
  </si>
  <si>
    <t>The crops were cultivated without synthetic pesticides or fertilizers.</t>
  </si>
  <si>
    <t>The playwright’s latest production explores themes of love and betrayal.</t>
  </si>
  <si>
    <t>The play focuses on romantic relationships and their complexities.</t>
  </si>
  <si>
    <t>The charity donated winter coats to families in need.</t>
  </si>
  <si>
    <t>The organization provided clothing to help people stay warm during winter.</t>
  </si>
  <si>
    <t>Charity</t>
  </si>
  <si>
    <t>The athlete set a new world record in the high jump competition.</t>
  </si>
  <si>
    <t>She achieved the highest jump ever recorded in the event.</t>
  </si>
  <si>
    <t>The car runs entirely on renewable energy sources like solar and wind.</t>
  </si>
  <si>
    <t>The vehicle is powered using sustainable energy systems.</t>
  </si>
  <si>
    <t>The bakery introduced gluten-free options to its menu.</t>
  </si>
  <si>
    <t>Customers can now order baked goods made without gluten.</t>
  </si>
  <si>
    <t>The pianist performed a piece by Chopin during the evening concert.</t>
  </si>
  <si>
    <t>The musician played a composition written by Chopin.</t>
  </si>
  <si>
    <t>The chef baked a cake using fresh strawberries and cream.</t>
  </si>
  <si>
    <t>The dessert contained strawberries and cream as main ingredients.</t>
  </si>
  <si>
    <t>The researcher presented her findings on the effects of sleep deprivation.</t>
  </si>
  <si>
    <t>The scientist shared results about how lack of sleep impacts people.</t>
  </si>
  <si>
    <t>The castle was built during the 12th century and features Gothic architecture.</t>
  </si>
  <si>
    <t>The structure is an example of medieval Gothic design from the 1100s.</t>
  </si>
  <si>
    <t>The store offers a wide selection of organic fruits and vegetables.</t>
  </si>
  <si>
    <t>Shoppers can buy organically grown produce at the store.</t>
  </si>
  <si>
    <t>The firefighter rescued a family trapped inside a burning building.</t>
  </si>
  <si>
    <t>A family was saved from a house fire by the firefighter.</t>
  </si>
  <si>
    <t>Public Safety</t>
  </si>
  <si>
    <t>The athlete trained for months to prepare for the marathon.</t>
  </si>
  <si>
    <t>The runner dedicated significant time to getting ready for the race.</t>
  </si>
  <si>
    <t>The library hosts weekly storytime sessions for children under five.</t>
  </si>
  <si>
    <t>The facility organizes regular reading events for young kids.</t>
  </si>
  <si>
    <t>The photographer captured images of the sunrise over the mountains.</t>
  </si>
  <si>
    <t>The pictures showed the sun rising above the mountain peaks.</t>
  </si>
  <si>
    <t>The scientist used advanced telescopes to observe distant galaxies.</t>
  </si>
  <si>
    <t>The researcher studied faraway galaxies using specialized equipment.</t>
  </si>
  <si>
    <t>The painter used oil-based colors to create the portrait.</t>
  </si>
  <si>
    <t>The artist utilized oil paints for the artwork.</t>
  </si>
  <si>
    <t>The chef prepared a five-course meal for the wedding reception.</t>
  </si>
  <si>
    <t>The guests enjoyed a multi-course dinner during the celebration.</t>
  </si>
  <si>
    <t>The historian published a book analyzing the causes of World War I.</t>
  </si>
  <si>
    <t>The author’s work focused on the events leading to the Great War.</t>
  </si>
  <si>
    <t>The teacher assigned a group project on renewable energy.</t>
  </si>
  <si>
    <t>Students worked together to complete a project about green energy sources.</t>
  </si>
  <si>
    <t>The athlete trained six days a week to prepare for the tournament.</t>
  </si>
  <si>
    <t>The competitor dedicated most of the week to training for the event.</t>
  </si>
  <si>
    <t>The photographer captured breathtaking images of the Grand Canyon at sunset.</t>
  </si>
  <si>
    <t>The photos showcased the beauty of the canyon during the evening.</t>
  </si>
  <si>
    <t>The company introduced a new eco-friendly packaging design.</t>
  </si>
  <si>
    <t>The business launched a sustainable alternative to traditional packaging.</t>
  </si>
  <si>
    <t>The professor delivered a lecture on quantum mechanics.</t>
  </si>
  <si>
    <t>The session was focused on explaining concepts of quantum theory.</t>
  </si>
  <si>
    <t>The doctor recommended daily exercise to improve cardiovascular health.</t>
  </si>
  <si>
    <t>The physician advised physical activity for a healthier heart.</t>
  </si>
  <si>
    <t>The farmer grew a variety of vegetables, including carrots and tomatoes.</t>
  </si>
  <si>
    <t>The crops on the farm included tomatoes and carrots.</t>
  </si>
  <si>
    <t>The architect designed the building with energy-efficient features.</t>
  </si>
  <si>
    <t>The construction included systems to reduce energy consumption.</t>
  </si>
  <si>
    <t>The journalist wrote an article about advancements in artificial intelligence.</t>
  </si>
  <si>
    <t>The piece focused on recent developments in AI technology.</t>
  </si>
  <si>
    <t>The library added new books to its children’s section.</t>
  </si>
  <si>
    <t>The children’s area was updated with additional reading materials.</t>
  </si>
  <si>
    <t>The musician performed a violin solo at the evening concert.</t>
  </si>
  <si>
    <t>The audience enjoyed a solo violin performance during the concert.</t>
  </si>
  <si>
    <t>The scientist conducted experiments to study the effects of gravity.</t>
  </si>
  <si>
    <t>The research focused on how gravity influences objects.</t>
  </si>
  <si>
    <t>The library organized a workshop on creative writing.</t>
  </si>
  <si>
    <t>Participants attended a session focused on improving their writing skills.</t>
  </si>
  <si>
    <t>The chef seasoned the dish with fresh herbs and spices.</t>
  </si>
  <si>
    <t>The meal was flavored using fresh herbs and a variety of spices.</t>
  </si>
  <si>
    <t>The athlete broke the national record in the 100-meter sprint.</t>
  </si>
  <si>
    <t>She achieved the fastest time ever recorded in her country for the event.</t>
  </si>
  <si>
    <t>The exhibition showcased artifacts from ancient Mesopotamia.</t>
  </si>
  <si>
    <t>The display included items from one of the world’s earliest civilizations.</t>
  </si>
  <si>
    <t>The farmer harvested wheat using modern machinery.</t>
  </si>
  <si>
    <t>The crops were collected with the help of advanced agricultural equipment.</t>
  </si>
  <si>
    <t>The teacher explained the principles of photosynthesis to her students.</t>
  </si>
  <si>
    <t>The lesson covered how plants convert light into energy.</t>
  </si>
  <si>
    <t>The company unveiled its new solar-powered vehicle model.</t>
  </si>
  <si>
    <t>The business introduced an eco-friendly car powered by solar energy.</t>
  </si>
  <si>
    <t>The doctor prescribed antibiotics to treat the patient’s infection.</t>
  </si>
  <si>
    <t>The medication was given to help fight the bacterial infection.</t>
  </si>
  <si>
    <t>The tour guide described the history of the medieval castle.</t>
  </si>
  <si>
    <t>Visitors were given insights into the castle’s historical background.</t>
  </si>
  <si>
    <t>The novelist published a sequel to her best-selling book.</t>
  </si>
  <si>
    <t>Readers anticipated the follow-up to her widely popular novel.</t>
  </si>
  <si>
    <t>The bakery started selling gluten-free muffins this month.</t>
  </si>
  <si>
    <t>Customers can now purchase muffins made without gluten at the bakery.</t>
  </si>
  <si>
    <t>The airline introduced a new direct route from New York to Paris.</t>
  </si>
  <si>
    <t>Travelers can now fly nonstop between New York and Paris.</t>
  </si>
  <si>
    <t>The engineer designed a bridge to withstand high seismic activity.</t>
  </si>
  <si>
    <t>The structure was built to endure strong earthquakes.</t>
  </si>
  <si>
    <t>The biologist studied the migration patterns of Arctic terns.</t>
  </si>
  <si>
    <t>Her research focused on the long-distance journeys of these birds.</t>
  </si>
  <si>
    <t>The program provided free meals to underprivileged children.</t>
  </si>
  <si>
    <t>The initiative ensured food availability for kids in need.</t>
  </si>
  <si>
    <t>The film received an award for best cinematography.</t>
  </si>
  <si>
    <t>The movie was recognized for its outstanding visual presentation.</t>
  </si>
  <si>
    <t>The museum displayed paintings from the Impressionist era.</t>
  </si>
  <si>
    <t>Visitors viewed artwork created by prominent Impressionist painters.</t>
  </si>
  <si>
    <t>The startup launched a platform for secure online payments.</t>
  </si>
  <si>
    <t>The company introduced a service to make digital transactions safer.</t>
  </si>
  <si>
    <t>The professor emphasized the importance of ethics in scientific research.</t>
  </si>
  <si>
    <t>His lecture focused on moral considerations in conducting studies.</t>
  </si>
  <si>
    <t>The government allocated funds for renewable energy projects.</t>
  </si>
  <si>
    <t>The budget included financial support for green energy initiatives.</t>
  </si>
  <si>
    <t>The poet recited verses about the beauty of nature.</t>
  </si>
  <si>
    <t>The audience listened to poems celebrating natural landscapes.</t>
  </si>
  <si>
    <t>The park opened a new trail for mountain bikers.</t>
  </si>
  <si>
    <t>Cyclists were excited to explore the newly constructed biking route.</t>
  </si>
  <si>
    <t>The children planted saplings in the school garden.</t>
  </si>
  <si>
    <t>Students participated in a tree-planting activity on campus.</t>
  </si>
  <si>
    <t>The astronaut conducted experiments aboard the International Space Station.</t>
  </si>
  <si>
    <t>The research was performed while orbiting Earth in space.</t>
  </si>
  <si>
    <t>The company offers training programs for new employees.</t>
  </si>
  <si>
    <t>Staff members receive educational sessions as part of onboarding.</t>
  </si>
  <si>
    <t>The orchestra performed Beethoven’s Fifth Symphony during the concert.</t>
  </si>
  <si>
    <t>The evening’s music included a symphony composed by Beethoven.</t>
  </si>
  <si>
    <t>The author wrote a book exploring the history of ancient Rome.</t>
  </si>
  <si>
    <t>The text detailed events from the Roman Empire’s past.</t>
  </si>
  <si>
    <t>The hotel provides complimentary breakfast for its guests.</t>
  </si>
  <si>
    <t>Visitors staying at the hotel can enjoy a free morning meal.</t>
  </si>
  <si>
    <t>The athlete won a gold medal in the high jump event.</t>
  </si>
  <si>
    <t>She secured first place in the high jump competition.</t>
  </si>
  <si>
    <t>The app allows users to track their daily water intake.</t>
  </si>
  <si>
    <t>People can monitor how much water they drink using the application.</t>
  </si>
  <si>
    <t>The construction crew repaired the damaged section of the highway.</t>
  </si>
  <si>
    <t>Workers restored the part of the road that had been in poor condition.</t>
  </si>
  <si>
    <t>The scientist collected data on ocean temperatures over a decade.</t>
  </si>
  <si>
    <t>Her research focused on long-term changes in sea temperatures.</t>
  </si>
  <si>
    <t>The chef prepared a dish inspired by traditional Indian recipes.</t>
  </si>
  <si>
    <t>The meal was influenced by flavors from Indian cuisine.</t>
  </si>
  <si>
    <t>The historian analyzed letters from the Civil War era.</t>
  </si>
  <si>
    <t>The study examined correspondence written during the 19th century.</t>
  </si>
  <si>
    <t>The orchestra played a symphony by Beethoven at last night’s concert.</t>
  </si>
  <si>
    <t>The audience enjoyed a performance of one of Beethoven’s compositions.</t>
  </si>
  <si>
    <t>The tour guide provided details about the history of the ancient temple.</t>
  </si>
  <si>
    <t>Visitors learned about the temple’s historical significance from the guide.</t>
  </si>
  <si>
    <t>The school implemented a program to promote physical fitness among students.</t>
  </si>
  <si>
    <t>Students participated in activities designed to improve their health.</t>
  </si>
  <si>
    <t>The startup introduced an app to help users track their carbon footprint.</t>
  </si>
  <si>
    <t>The tool was created to monitor the environmental impact of daily activities.</t>
  </si>
  <si>
    <t>The company offered discounts on its products during the holiday season.</t>
  </si>
  <si>
    <t>Customers took advantage of reduced prices for their holiday shopping.</t>
  </si>
  <si>
    <t>The biologist published a paper on the effects of pollution on coral reefs.</t>
  </si>
  <si>
    <t>The research explored how contaminants impact marine ecosystems.</t>
  </si>
  <si>
    <t>The teacher used hands-on experiments to teach basic physics principles.</t>
  </si>
  <si>
    <t>Students learned physics concepts through interactive demonstrations.</t>
  </si>
  <si>
    <t>The author launched a fantasy series with a magical setting.</t>
  </si>
  <si>
    <t>Readers enjoyed the imaginative world in the writer’s new book series.</t>
  </si>
  <si>
    <t>The nonprofit group built homes for families affected by natural disasters.</t>
  </si>
  <si>
    <t>The organization provided housing assistance to disaster survivors.</t>
  </si>
  <si>
    <t>The conference focused on the ethical implications of AI technology.</t>
  </si>
  <si>
    <t>Experts discussed moral concerns related to artificial intelligence.</t>
  </si>
  <si>
    <t>The fashion designer created a collection inspired by 1960s trends.</t>
  </si>
  <si>
    <t>Her designs incorporated styles popular in the 1960s.</t>
  </si>
  <si>
    <t>The city council approved funding for a new library.</t>
  </si>
  <si>
    <t>A budget was allocated for the construction of the library.</t>
  </si>
  <si>
    <t>The teacher gave a lecture on the properties of magnets.</t>
  </si>
  <si>
    <t>The class learned about how magnets attract and repel objects.</t>
  </si>
  <si>
    <t>The author released a new novel about a dystopian future.</t>
  </si>
  <si>
    <t>The book explores a fictional society set in a bleak and controlled world.</t>
  </si>
  <si>
    <t>The hotel provided complimentary breakfast to all its guests.</t>
  </si>
  <si>
    <t>Visitors enjoyed free morning meals as part of their stay at the hotel.</t>
  </si>
  <si>
    <t>The biologist conducted research on endangered butterfly species.</t>
  </si>
  <si>
    <t>Her study focused on conserving rare butterflies at risk of extinction.</t>
  </si>
  <si>
    <t>The museum showcased artwork from the Impressionist era.</t>
  </si>
  <si>
    <t>Visitors admired paintings created by artists from the 19th century Impressionist movement.</t>
  </si>
  <si>
    <t>The athlete trained intensively for the upcoming championship.</t>
  </si>
  <si>
    <t>She worked hard to improve her performance before the major competition.</t>
  </si>
  <si>
    <t>The engineer designed a robot to automate assembly line tasks.</t>
  </si>
  <si>
    <t>The robot was created to handle repetitive manufacturing processes efficiently.</t>
  </si>
  <si>
    <t>The scientist presented findings on the effects of microplastics in oceans.</t>
  </si>
  <si>
    <t>Her research explained how tiny plastic particles harm marine life.</t>
  </si>
  <si>
    <t>The chef prepared a dessert using seasonal fruits.</t>
  </si>
  <si>
    <t>The dish featured fresh ingredients available during that time of year.</t>
  </si>
  <si>
    <t>The government increased funding for renewable energy projects.</t>
  </si>
  <si>
    <t>The budget allocation supported initiatives promoting solar and wind energy.</t>
  </si>
  <si>
    <t>The student completed a thesis on the history of medieval Europe.</t>
  </si>
  <si>
    <t>His academic work focused on events and culture from the Middle Ages.</t>
  </si>
  <si>
    <t>The novelist’s latest book topped bestseller charts worldwide.</t>
  </si>
  <si>
    <t>Her newest release gained widespread popularity and record-breaking sales.</t>
  </si>
  <si>
    <t>The children planted flowers in the school garden as part of Earth Day activities.</t>
  </si>
  <si>
    <t>They participated in a gardening project to celebrate environmental awareness.</t>
  </si>
  <si>
    <t>The park installed new benches and picnic tables for visitors.</t>
  </si>
  <si>
    <t>The upgrades provided more seating options for people enjoying the park.</t>
  </si>
  <si>
    <t>The orchestra performed a symphony composed by Mozart.</t>
  </si>
  <si>
    <t>The audience listened to music written by the renowned classical composer.</t>
  </si>
  <si>
    <t>The artist painted a mural inspired by the history of the town.</t>
  </si>
  <si>
    <t>The artwork depicted significant moments from the town's past.</t>
  </si>
  <si>
    <t>The chef prepared a meal using farm-to-table ingredients.</t>
  </si>
  <si>
    <t>The dish featured produce sourced from local farms.</t>
  </si>
  <si>
    <t>The research team studied the effects of climate change on Arctic wildlife.</t>
  </si>
  <si>
    <t>Their work focused on how warming temperatures impact polar ecosystems.</t>
  </si>
  <si>
    <t>The teacher explained the concept of photosynthesis to her students.</t>
  </si>
  <si>
    <t>The class learned how plants convert sunlight into energy.</t>
  </si>
  <si>
    <t>The historian analyzed documents from the French Revolution.</t>
  </si>
  <si>
    <t>Her research focused on written records from that period of upheaval in France.</t>
  </si>
  <si>
    <t>The software engineer created an algorithm to detect fraudulent transactions.</t>
  </si>
  <si>
    <t>The program identified patterns indicating suspicious financial activity.</t>
  </si>
  <si>
    <t>The conference discussed strategies for reducing carbon emissions.</t>
  </si>
  <si>
    <t>Experts presented methods to lower greenhouse gas output.</t>
  </si>
  <si>
    <t>The orchestra performed a selection of pieces by Beethoven and Mozart.</t>
  </si>
  <si>
    <t>The audience enjoyed classical music from renowned composers.</t>
  </si>
  <si>
    <t>The author wrote a biography about a 19th-century scientist.</t>
  </si>
  <si>
    <t>The book detailed the life and achievements of the historical figure.</t>
  </si>
  <si>
    <t>The university launched a program to promote diversity and inclusion.</t>
  </si>
  <si>
    <t>The initiative aimed to foster a more equitable and welcoming campus.</t>
  </si>
  <si>
    <t>The biologist conducted a study on pollination by honeybees.</t>
  </si>
  <si>
    <t>The research explored how bees contribute to the reproduction of plants.</t>
  </si>
  <si>
    <t>The architect designed a building with sustainability in mind.</t>
  </si>
  <si>
    <t>The structure featured energy-efficient systems and eco-friendly materials.</t>
  </si>
  <si>
    <t>The journalist reported on the recent economic downturn.</t>
  </si>
  <si>
    <t>The article analyzed the causes and impacts of the financial decline.</t>
  </si>
  <si>
    <t>The museum curated an exhibit on Renaissance art.</t>
  </si>
  <si>
    <t>Visitors viewed masterpieces created during the 14th to 17th centuries.</t>
  </si>
  <si>
    <t>The student presented a project on renewable energy sources.</t>
  </si>
  <si>
    <t>Her work explored options like solar and wind power for future use.</t>
  </si>
  <si>
    <t>The doctor published findings on a breakthrough in cancer treatment.</t>
  </si>
  <si>
    <t>The research outlined a novel approach to combating the disease.</t>
  </si>
  <si>
    <t>The fashion designer debuted a collection inspired by nature.</t>
  </si>
  <si>
    <t>Her designs featured patterns resembling flowers and leaves.</t>
  </si>
  <si>
    <t>The startup introduced an app to help users manage personal finances.</t>
  </si>
  <si>
    <t>The tool allowed individuals to track expenses and create budgets.</t>
  </si>
  <si>
    <t>The marathon runner trained extensively for the upcoming competition.</t>
  </si>
  <si>
    <t>Her rigorous schedule aimed to improve her endurance and speed.</t>
  </si>
  <si>
    <t>The librarian organized a workshop on digital literacy.</t>
  </si>
  <si>
    <t>Participants learned how to navigate online resources effectively.</t>
  </si>
  <si>
    <t>The wildlife photographer documented rare species in a remote rainforest.</t>
  </si>
  <si>
    <t>Her photos captured animals that are seldom seen by humans.</t>
  </si>
  <si>
    <t>The play was adapted from a novel by a famous author.</t>
  </si>
  <si>
    <t>The script followed the storyline of the book closely.</t>
  </si>
  <si>
    <t>The charity provided clean drinking water to remote villages.</t>
  </si>
  <si>
    <t>Their efforts ensured access to safe and reliable water sources.</t>
  </si>
  <si>
    <t>The zoologist observed the behavior of meerkats in their natural habitat.</t>
  </si>
  <si>
    <t>Her notes detailed their social interactions and feeding habits.</t>
  </si>
  <si>
    <t>The engineer tested a new design for a wind turbine.</t>
  </si>
  <si>
    <t>The prototype aimed to generate more energy than previous models.</t>
  </si>
  <si>
    <t>The documentary explored the lives of women in STEM fields.</t>
  </si>
  <si>
    <t>The film highlighted challenges and successes faced by female scientists.</t>
  </si>
  <si>
    <t>The environmental group planted trees in an area affected by deforestation.</t>
  </si>
  <si>
    <t>Their reforestation efforts aimed to restore the local ecosystem.</t>
  </si>
  <si>
    <t>The novelist’s latest book topped the bestseller charts for weeks.</t>
  </si>
  <si>
    <t>The story resonated with readers and gained widespread popularity.</t>
  </si>
  <si>
    <t>The festival showcased traditional dances from various cultures.</t>
  </si>
  <si>
    <t>Attendees enjoyed performances highlighting diverse heritage.</t>
  </si>
  <si>
    <t>The researcher studied the effects of sleep deprivation on memory.</t>
  </si>
  <si>
    <t>Her findings revealed how lack of sleep impacts cognitive function.</t>
  </si>
  <si>
    <t>Science</t>
  </si>
  <si>
    <t>The government funded a program to improve access to education in rural areas.</t>
  </si>
  <si>
    <t>The initiative aimed to provide schools with better resources and technology.</t>
  </si>
  <si>
    <t>Education</t>
  </si>
  <si>
    <t>The robotics team created a machine to assist with medical surgeries.</t>
  </si>
  <si>
    <t>The robot was designed to perform precise operations with minimal error.</t>
  </si>
  <si>
    <t>The scientist demonstrated the process of photosynthesis in her lab presentation.</t>
  </si>
  <si>
    <t>She explained how plants convert light into energy to sustain themselves.</t>
  </si>
  <si>
    <t>The author published a sequel to her critically acclaimed fantasy series.</t>
  </si>
  <si>
    <t>The new book continued the storyline established in the previous novels.</t>
  </si>
  <si>
    <t>The engineer unveiled a prototype for a more efficient solar panel.</t>
  </si>
  <si>
    <t>The device was designed to convert sunlight into electricity with higher efficiency.</t>
  </si>
  <si>
    <t>The astronaut shared her experiences of space travel during a public lecture.</t>
  </si>
  <si>
    <t>She described the challenges and wonders of living aboard the International Space Station.</t>
  </si>
  <si>
    <t>The medical researcher tested a vaccine for a newly emerging virus.</t>
  </si>
  <si>
    <t>The trials aimed to determine the vaccine's effectiveness against the disease.</t>
  </si>
  <si>
    <t>Public Health</t>
  </si>
  <si>
    <t>The teacher encouraged students to participate in a hands-on science experiment.</t>
  </si>
  <si>
    <t>They explored concepts like buoyancy and density using simple materials.</t>
  </si>
  <si>
    <t>The pianist played a technically challenging piece by Chopin at the recital.</t>
  </si>
  <si>
    <t>The performance showcased her exceptional skill and mastery of the instrument.</t>
  </si>
  <si>
    <t>The government announced a new initiative to reduce food waste nationwide.</t>
  </si>
  <si>
    <t>The program incentivized businesses and individuals to minimize surplus waste.</t>
  </si>
  <si>
    <t>The environmentalist delivered a speech about the dangers of deforestation.</t>
  </si>
  <si>
    <t>She highlighted the impact on biodiversity and climate change caused by habitat loss.</t>
  </si>
  <si>
    <t>The archaeologists discovered the ruins of an ancient settlement near the river.</t>
  </si>
  <si>
    <t>Their findings included pottery and tools used by the civilization that once thrived there.</t>
  </si>
  <si>
    <t>The university introduced a course on the ethical implications of artificial intelligence.</t>
  </si>
  <si>
    <t>Students learned about the societal consequences and responsibilities of AI developers.</t>
  </si>
  <si>
    <t>The chef incorporated locally sourced ingredients into all his dishes.</t>
  </si>
  <si>
    <t>The restaurant's menu reflected a commitment to sustainable and farm-fresh produce.</t>
  </si>
  <si>
    <t>The artist painted a series of works inspired by urban landscapes.</t>
  </si>
  <si>
    <t>Her pieces captured the energy and architecture of modern cityscapes.</t>
  </si>
  <si>
    <t>The documentary followed the migration patterns of monarch butterflies across North America.</t>
  </si>
  <si>
    <t>It depicted their journey from Mexico to the United States and Canada.</t>
  </si>
  <si>
    <t>The startup developed a platform to connect freelance designers with clients.</t>
  </si>
  <si>
    <t>The service aimed to simplify collaboration between creative professionals and businesses.</t>
  </si>
  <si>
    <t>The climbers reached the summit of Mount Everest during the spring expedition.</t>
  </si>
  <si>
    <t>They achieved their goal after months of preparation and training.</t>
  </si>
  <si>
    <t>The forensic team identified fingerprints on the murder weapon matching the prime suspect.</t>
  </si>
  <si>
    <t>The prime suspect's fingerprints were conclusively found on the weapon used in the homicide.</t>
  </si>
  <si>
    <t>The forensic team discovered genetic material from the suspect on the victim’s hands.</t>
  </si>
  <si>
    <t>The police arrested three individuals in connection with the cyber fraud operation.</t>
  </si>
  <si>
    <t>Law enforcement took multiple suspects into custody for their involvement in an online financial scam.</t>
  </si>
  <si>
    <t>The forensic report indicates that the bullet recovered from the victim matches the suspect’s firearm.</t>
  </si>
  <si>
    <t>The ballistics report confirms that the bullet retrieved from the scene originated from the suspect’s gun.</t>
  </si>
  <si>
    <t>The forensic team identified the suspect’s fingerprints on the stolen painting.</t>
  </si>
  <si>
    <t>The forensic team determined that the victim died from poisoning.</t>
  </si>
  <si>
    <t>The autopsy confirmed that the victim was killed by a fatal dose of cyanide.</t>
  </si>
  <si>
    <t>The security footage captured clear images of the burglar breaking into the house.</t>
  </si>
  <si>
    <t>The surveillance video showed an individual attempting to break into the property.</t>
  </si>
  <si>
    <t>The DNA found on the crime scene matched the prime suspect’s genetic profile.</t>
  </si>
  <si>
    <t>The forensic team confirmed that the biological evidence at the scene belonged to the suspect.</t>
  </si>
  <si>
    <t>The suspect was seen arguing with the victim just minutes before the murder occurred.</t>
  </si>
  <si>
    <t>Eyewitnesses reported that the suspect had a heated exchange with the victim shortly before the incident.</t>
  </si>
  <si>
    <t>The arsonist left behind traces of gasoline and a burnt matchbox at the scene.</t>
  </si>
  <si>
    <t>Fire investigators found evidence of an accelerant used to start the blaze.</t>
  </si>
  <si>
    <t>The drug bust led to the seizure of over 100 kilograms of illegal substances.</t>
  </si>
  <si>
    <t>Law enforcement confiscated a large quantity of narcotics during the raid.</t>
  </si>
  <si>
    <t>Detectives confirmed that the suspect’s DNA was found under the victim’s fingernails, suggesting a struggle.</t>
  </si>
  <si>
    <t>The suspect's fingerprints were found on the stolen artwork, confirming his involvement.</t>
  </si>
  <si>
    <t>The batter hit a grand slam in the seventh inning.</t>
  </si>
  <si>
    <t>The batter hit a home run with the bases loaded in the seventh inning.</t>
  </si>
  <si>
    <t>The rookie pitcher struck out ten batters in his debut game.</t>
  </si>
  <si>
    <t>The pitcher recorded ten strikeouts in his first Major League appearance.</t>
  </si>
  <si>
    <t>The umpire ruled the play as a home run after reviewing the footage.</t>
  </si>
  <si>
    <t>The official review confirmed that the ball had cleared the fence for a home run.</t>
  </si>
  <si>
    <t>The batter lined a single into left field on the first pitch.</t>
  </si>
  <si>
    <t>The batter hit a solid base hit to left field on his first swing.</t>
  </si>
  <si>
    <t>The game went into extra innings after both teams were tied at the end of the ninth.</t>
  </si>
  <si>
    <t>The teams played additional innings due to a tie after nine innings.</t>
  </si>
  <si>
    <t>The pitcher threw a perfect game, retiring all 27 batters without allowing a hit or walk.</t>
  </si>
  <si>
    <t>The pitcher did not allow any baserunners and completed a flawless game.</t>
  </si>
  <si>
    <t>The player stole second base during the third inning.</t>
  </si>
  <si>
    <t>The player successfully advanced to second base on a steal attempt.</t>
  </si>
  <si>
    <t>The home team won in walk-off fashion with a dramatic home run in the bottom of the ninth.</t>
  </si>
  <si>
    <t>The game ended with the home team hitting a game-winning homer in the final inning.</t>
  </si>
  <si>
    <t>The closer recorded his 30th save of the season with a flawless ninth inning.</t>
  </si>
  <si>
    <t>The closer secured his 30th save without allowing any hits or walks in the ninth.</t>
  </si>
  <si>
    <t>The rookie sensation hit for the cycle in his first month in the league.</t>
  </si>
  <si>
    <t>The rookie recorded a single, double, triple, and home run in the same game.</t>
  </si>
  <si>
    <t>The team's ace pitcher led the league in strikeouts for the season.</t>
  </si>
  <si>
    <t>The pitcher had the highest strikeout total of any player in the league this year.</t>
  </si>
  <si>
    <t>The player won the Gold Glove Award for his outstanding defensive performance.</t>
  </si>
  <si>
    <t>The player was recognized for his exceptional fielding with a Gold Glove Award.</t>
  </si>
  <si>
    <t>The slugger hit his 40th home run of the season last night.</t>
  </si>
  <si>
    <t>The power hitter belted his 40th homer in the most recent game.</t>
  </si>
  <si>
    <t>The umpire ejected the manager after a heated argument over a called strike.</t>
  </si>
  <si>
    <t>The manager was thrown out of the game for disputing a strike call.</t>
  </si>
  <si>
    <t>She is going to the store.</t>
  </si>
  <si>
    <t>She is driving a car.</t>
  </si>
  <si>
    <t>A car is parked in the driveway.</t>
  </si>
  <si>
    <t>There is a vehicle parked outside.</t>
  </si>
  <si>
    <t>The dog barked at the stranger.</t>
  </si>
  <si>
    <t>The dog is afraid of people.</t>
  </si>
  <si>
    <t>He is an expert coder.</t>
  </si>
  <si>
    <t>He is learning programming.</t>
  </si>
  <si>
    <t>She enjoys spending her weekends at the library.</t>
  </si>
  <si>
    <t>The weather forecast predicted rain today.</t>
  </si>
  <si>
    <t>I plan to visit Paris this summer.</t>
  </si>
  <si>
    <t>I need to book my flight and hotel for the trip.</t>
  </si>
  <si>
    <t>He studies hard every day.</t>
  </si>
  <si>
    <t>His grades have improved significantly.</t>
  </si>
  <si>
    <t>She likes ice cream.</t>
  </si>
  <si>
    <t>She dislikes pizza.</t>
  </si>
  <si>
    <t>The dog is barking.</t>
  </si>
  <si>
    <t>The cat is sleeping.</t>
  </si>
  <si>
    <t>The CEO announced a new partnership.</t>
  </si>
  <si>
    <t>The CFO discussed quarterly earnings.</t>
  </si>
  <si>
    <t>The artist painted a mural on the school wall.</t>
  </si>
  <si>
    <t>The students planted flowers in the garden.</t>
  </si>
  <si>
    <t>She finished writing her thesis yesterday.</t>
  </si>
  <si>
    <t>The library was unusually quiet last evening.</t>
  </si>
  <si>
    <t>The bakery introduced a new line of pastries.</t>
  </si>
  <si>
    <t>The local gym launched a new fitness program.</t>
  </si>
  <si>
    <t>He is attending a workshop on photography.</t>
  </si>
  <si>
    <t>She is learning how to cook Italian dishes.</t>
  </si>
  <si>
    <t>The marathon started at sunrise.</t>
  </si>
  <si>
    <t>The concert was scheduled for the evening.</t>
  </si>
  <si>
    <t>The author published a bestseller last year.</t>
  </si>
  <si>
    <t>The editor is currently working on a novel.</t>
  </si>
  <si>
    <t>The athlete broke a world record in swimming.</t>
  </si>
  <si>
    <t>The coach congratulated the basketball team.</t>
  </si>
  <si>
    <t>The company launched a new software product.</t>
  </si>
  <si>
    <t>The team celebrated a colleague's birthday.</t>
  </si>
  <si>
    <t>She spent her vacation exploring historical sites.</t>
  </si>
  <si>
    <t>He used his holidays to learn a new language.</t>
  </si>
  <si>
    <t>The restaurant is famous for its seafood dishes.</t>
  </si>
  <si>
    <t>The hotel next door offers luxury spa services.</t>
  </si>
  <si>
    <t>The mountain range is covered in snow year-round.</t>
  </si>
  <si>
    <t>The valley hosts an annual flower festival in spring.</t>
  </si>
  <si>
    <t>She authored a critically acclaimed novel.</t>
  </si>
  <si>
    <t>Her brother directed a short film that won awards.</t>
  </si>
  <si>
    <t>The bookstore held a sale on all fiction novels last weekend.</t>
  </si>
  <si>
    <t>The coffee shop introduced a new seasonal menu this week.</t>
  </si>
  <si>
    <t>The author gave a talk about her latest novel at the library.</t>
  </si>
  <si>
    <t>The artist hosted a gallery opening for his new collection downtown.</t>
  </si>
  <si>
    <t>The wildlife reserve is home to several endangered species.</t>
  </si>
  <si>
    <t>The local park installed new playground equipment for children.</t>
  </si>
  <si>
    <t>The train station is undergoing renovations to expand its platforms.</t>
  </si>
  <si>
    <t>The airport recently added a new international terminal.</t>
  </si>
  <si>
    <t>The chef created a new dessert using locally sourced ingredients.</t>
  </si>
  <si>
    <t>The farmer planted a new crop of sunflowers on his land.</t>
  </si>
  <si>
    <t>The orchestra performed a symphony by Beethoven during the concert.</t>
  </si>
  <si>
    <t>The theater company staged a modern adaptation of Shakespeare's 'Hamlet.'</t>
  </si>
  <si>
    <t>She spent the afternoon practicing yoga in the studio.</t>
  </si>
  <si>
    <t>Her brother played basketball with friends at the park.</t>
  </si>
  <si>
    <t>The research team discovered a rare species of deep-sea fish.</t>
  </si>
  <si>
    <t>A separate group of scientists is studying climate change in the Arctic.</t>
  </si>
  <si>
    <t>Unrelated</t>
  </si>
  <si>
    <t>The conference focused on advancements in artificial intelligence.</t>
  </si>
  <si>
    <t>The workshop provided hands-on training in digital illustration.</t>
  </si>
  <si>
    <t>The castle was built during the medieval period and is a popular tourist attraction.</t>
  </si>
  <si>
    <t>The nearby village hosts an annual market festival in spring.</t>
  </si>
  <si>
    <t>The town built a new community center with modern facilities.</t>
  </si>
  <si>
    <t>The neighboring city recently opened a state-of-the-art sports arena.</t>
  </si>
  <si>
    <t>She painted a landscape of rolling hills and a river.</t>
  </si>
  <si>
    <t>Her friend sketched a portrait of a musician during the art class.</t>
  </si>
  <si>
    <t>The astronaut spoke about his experiences on the International Space Station.</t>
  </si>
  <si>
    <t>The geologist gave a lecture on volcanic eruptions.</t>
  </si>
  <si>
    <t>The festival featured local food vendors and live music performances.</t>
  </si>
  <si>
    <t>The book fair showcased a range of authors and publishers.</t>
  </si>
  <si>
    <t>The dog barked at the mail carrier passing by the house.</t>
  </si>
  <si>
    <t>The cat slept on the windowsill for most of the afternoon.</t>
  </si>
  <si>
    <t>The new hospital wing specializes in pediatric care.</t>
  </si>
  <si>
    <t>The university opened a new lab dedicated to environmental research.</t>
  </si>
  <si>
    <t>The hikers encountered a scenic waterfall on their trail.</t>
  </si>
  <si>
    <t>The cyclists explored a route that passed through a dense forest.</t>
  </si>
  <si>
    <t>The football match was postponed due to heavy rain.</t>
  </si>
  <si>
    <t>The theater performance went on as planned despite the storm.</t>
  </si>
  <si>
    <t>She wore a blue dress to the gala last night.</t>
  </si>
  <si>
    <t>He chose a gray suit for the corporate dinner.</t>
  </si>
  <si>
    <t>The art gallery is known for its abstract and modern collections.</t>
  </si>
  <si>
    <t>The local history museum features artifacts from the Bronze Age.</t>
  </si>
  <si>
    <t>The community organized a cleanup drive for the local beach.</t>
  </si>
  <si>
    <t>The city council approved a budget for new road repairs.</t>
  </si>
  <si>
    <t>She started learning Spanish through online courses last month.</t>
  </si>
  <si>
    <t>Her brother is taking guitar lessons from a private instructor.</t>
  </si>
  <si>
    <t>The factory introduced new safety measures for its workers.</t>
  </si>
  <si>
    <t>The school implemented a new curriculum for advanced students.</t>
  </si>
  <si>
    <t>The book club chose a science fiction novel for their next meeting.</t>
  </si>
  <si>
    <t>The hiking group planned a trek to a nearby mountain trail.</t>
  </si>
  <si>
    <t>The hotel offered complimentary breakfast to all guests.</t>
  </si>
  <si>
    <t>The spa launched a promotional discount on massage therapies.</t>
  </si>
  <si>
    <t>He watched a documentary about the evolution of technology.</t>
  </si>
  <si>
    <t>She read a mystery novel set in the 19th century.</t>
  </si>
  <si>
    <t>The farmer expanded his cattle farm by purchasing more land.</t>
  </si>
  <si>
    <t>The teacher decided to start an after-school robotics club.</t>
  </si>
  <si>
    <t>The scientist attended a conference on climate change solutions.</t>
  </si>
  <si>
    <t>The artist hosted a workshop on oil painting techniques.</t>
  </si>
  <si>
    <t>The bakery opened a new branch in the downtown area.</t>
  </si>
  <si>
    <t>The bookstore organized a signing event for local authors.</t>
  </si>
  <si>
    <t>The soccer team wore red jerseys for the match.</t>
  </si>
  <si>
    <t>The baseball team introduced new uniforms in blue and white.</t>
  </si>
  <si>
    <t>The festival will feature live jazz performances.</t>
  </si>
  <si>
    <t>The town’s annual art fair is scheduled for the same weekend.</t>
  </si>
  <si>
    <t>She enjoys knitting sweaters during her free time.</t>
  </si>
  <si>
    <t>Her neighbor spends weekends working on home improvement projects.</t>
  </si>
  <si>
    <t>The actor starred in a historical drama last year.</t>
  </si>
  <si>
    <t>The director is known for his work in science fiction films.</t>
  </si>
  <si>
    <t>The mountain trail is popular among experienced climbers.</t>
  </si>
  <si>
    <t>The lake is a favorite spot for fishing enthusiasts.</t>
  </si>
  <si>
    <t>The cafe introduced a new line of herbal teas.</t>
  </si>
  <si>
    <t>The bookstore added a self-help section to its shelves.</t>
  </si>
  <si>
    <t>The chef taught a cooking class on traditional French cuisine.</t>
  </si>
  <si>
    <t>The florist hosted a workshop on bouquet arrangements.</t>
  </si>
  <si>
    <t>The university expanded its campus by adding new dormitories.</t>
  </si>
  <si>
    <t>The museum opened a wing dedicated to modern art.</t>
  </si>
  <si>
    <t>She prefers writing poetry in the morning when she feels inspired.</t>
  </si>
  <si>
    <t>Her friend enjoys painting landscapes during the evening.</t>
  </si>
  <si>
    <t>The farmer installed solar panels to power his barn.</t>
  </si>
  <si>
    <t>The local store switched to biodegradable packaging for its products.</t>
  </si>
  <si>
    <t>The new smartphone model features a longer battery life.</t>
  </si>
  <si>
    <t>The latest laptop design includes a more responsive touchpad.</t>
  </si>
  <si>
    <t>The student read a novel for her literature class.</t>
  </si>
  <si>
    <t>Her roommate spent the evening reviewing for a biology exam.</t>
  </si>
  <si>
    <t>The town built a new skate park for teenagers.</t>
  </si>
  <si>
    <t>The city council is planning to renovate the central library.</t>
  </si>
  <si>
    <t>The musician wrote an original score for the upcoming movie.</t>
  </si>
  <si>
    <t>The director hired a separate team to handle the cinematography.</t>
  </si>
  <si>
    <t>The farmer planted rows of tomatoes and cucumbers in the spring.</t>
  </si>
  <si>
    <t>The local bakery specializes in sourdough bread and pastries.</t>
  </si>
  <si>
    <t>The art museum held an exhibit on ancient Greek pottery.</t>
  </si>
  <si>
    <t>The theater next door screened a new sci-fi blockbuster.</t>
  </si>
  <si>
    <t>The family adopted a Labrador puppy from a local shelter.</t>
  </si>
  <si>
    <t>Their neighbors recently purchased a new car.</t>
  </si>
  <si>
    <t>The company unveiled a prototype of its latest electric vehicle.</t>
  </si>
  <si>
    <t>A rival firm announced its expansion into renewable energy projects.</t>
  </si>
  <si>
    <t>The marathon attracted runners from over 50 countries worldwide.</t>
  </si>
  <si>
    <t>The chess tournament featured players from across the state.</t>
  </si>
  <si>
    <t>The recipe calls for three ripe bananas and two eggs.</t>
  </si>
  <si>
    <t>The gardener planted new rose bushes in her front yard.</t>
  </si>
  <si>
    <t>The bookstore hosted a poetry reading by local authors.</t>
  </si>
  <si>
    <t>The coffee shop next door introduced a new espresso blend.</t>
  </si>
  <si>
    <t>The teacher assigned homework on algebra equations to her students.</t>
  </si>
  <si>
    <t>The principal held a meeting to discuss upcoming school events.</t>
  </si>
  <si>
    <t>The writer worked late into the night finishing her new novel.</t>
  </si>
  <si>
    <t>The painter spent hours adding details to his latest artwork.</t>
  </si>
  <si>
    <t>The local zoo opened a new exhibit featuring African elephants.</t>
  </si>
  <si>
    <t>The aquarium introduced a display of exotic jellyfish species.</t>
  </si>
  <si>
    <t>The construction company is building a new skyscraper downtown.</t>
  </si>
  <si>
    <t>The real estate firm announced plans for a housing project in the suburbs.</t>
  </si>
  <si>
    <t>The pianist prefers to play classical music at her concerts.</t>
  </si>
  <si>
    <t>The guitarist enjoys performing rock ballads for live audiences.</t>
  </si>
  <si>
    <t>The airline added a direct flight route between New York and Tokyo.</t>
  </si>
  <si>
    <t>The cruise line launched a new ship for Mediterranean voyages.</t>
  </si>
  <si>
    <t>The bookstore offers a monthly discount on bestselling novels.</t>
  </si>
  <si>
    <t>The coffee shop next door is known for its artisanal blends.</t>
  </si>
  <si>
    <t>The wildlife park is home to rare species of birds and reptiles.</t>
  </si>
  <si>
    <t>The botanical garden features plants from tropical regions.</t>
  </si>
  <si>
    <t>The startup raised millions in funding for its innovative AI platform.</t>
  </si>
  <si>
    <t>Another company announced a breakthrough in renewable energy storage.</t>
  </si>
  <si>
    <t>The farmer harvested the wheat fields in early autumn.</t>
  </si>
  <si>
    <t>The factory nearby produces machinery for industrial use.</t>
  </si>
  <si>
    <t>The writer prefers drafting her novels late at night.</t>
  </si>
  <si>
    <t>The musician enjoys composing songs early in the morning.</t>
  </si>
  <si>
    <t>The local park is known for its well-maintained jogging trails.</t>
  </si>
  <si>
    <t>The nearby lake attracts fishing enthusiasts every summer.</t>
  </si>
  <si>
    <t>The new restaurant specializes in Italian cuisine.</t>
  </si>
  <si>
    <t>The bookstore next door offers a wide range of science fiction novels.</t>
  </si>
  <si>
    <t>The scientist presented her findings at a global conference.</t>
  </si>
  <si>
    <t>The artist opened an exhibit showcasing his latest sculptures.</t>
  </si>
  <si>
    <t>The zoo installed a new habitat for polar bears.</t>
  </si>
  <si>
    <t>The aquarium unveiled a tank for jellyfish.</t>
  </si>
  <si>
    <t>The school hosted a seminar on digital literacy.</t>
  </si>
  <si>
    <t>The sports team organized a fundraiser for new equipment.</t>
  </si>
  <si>
    <t>The tech company launched its latest smartphone.</t>
  </si>
  <si>
    <t>A competitor introduced a new gaming console.</t>
  </si>
  <si>
    <t>The bakery is famous for its sourdough bread.</t>
  </si>
  <si>
    <t>The florist next door offers custom bouquets for weddings.</t>
  </si>
  <si>
    <t>The film won several awards at the international festival.</t>
  </si>
  <si>
    <t>The theater group received praise for their local performance.</t>
  </si>
  <si>
    <t>The athlete competed in the Olympic swimming events.</t>
  </si>
  <si>
    <t>Her brother participated in a national-level chess tournament.</t>
  </si>
  <si>
    <t>The café introduced a new seasonal menu.</t>
  </si>
  <si>
    <t>The bookstore next door held a book signing event.</t>
  </si>
  <si>
    <t>The farmer expanded his fields to grow more corn.</t>
  </si>
  <si>
    <t>The neighboring rancher raised cattle for dairy production.</t>
  </si>
  <si>
    <t>The artist spent months working on her latest painting.</t>
  </si>
  <si>
    <t>The musician released an album after two years of recording.</t>
  </si>
  <si>
    <t>The coffee shop added a new variety of cold brews to its menu.</t>
  </si>
  <si>
    <t>The bookstore next door started a sale on classic novels.</t>
  </si>
  <si>
    <t>The software engineer worked late fixing a critical bug.</t>
  </si>
  <si>
    <t>The marketing team finalized their campaign strategy for the product launch.</t>
  </si>
  <si>
    <t>The professor gave a lecture on Shakespearean tragedies.</t>
  </si>
  <si>
    <t>The biology class conducted an experiment on plant growth.</t>
  </si>
  <si>
    <t>The local community center opened a yoga studio.</t>
  </si>
  <si>
    <t>The library across the street expanded its children’s section.</t>
  </si>
  <si>
    <t>The gardener planted roses and lilies in the backyard.</t>
  </si>
  <si>
    <t>The chef prepared a three-course meal for the dinner guests.</t>
  </si>
  <si>
    <t>The athlete practiced swimming every morning.</t>
  </si>
  <si>
    <t>The actor rehearsed his lines for the upcoming play.</t>
  </si>
  <si>
    <t>The city council discussed improving public transportation.</t>
  </si>
  <si>
    <t>The neighborhood association focused on reducing noise pollution.</t>
  </si>
  <si>
    <t>The car dealership introduced a new line of hybrid vehicles.</t>
  </si>
  <si>
    <t>The tech company launched a smartwatch with advanced features.</t>
  </si>
  <si>
    <t>The mountain trail attracted hikers from all over the country.</t>
  </si>
  <si>
    <t>The nearby lake was a popular spot for fishing enthusiasts.</t>
  </si>
  <si>
    <t>The startup developed an app for scheduling appointments.</t>
  </si>
  <si>
    <t>A rival company focused on creating fitness-tracking technology.</t>
  </si>
  <si>
    <t>The research team published a paper on climate change.</t>
  </si>
  <si>
    <t>The novelist released a thriller set in a dystopian future.</t>
  </si>
  <si>
    <t>The park’s fountain was restored after years of neglect.</t>
  </si>
  <si>
    <t>The zoo announced the birth of a rare tiger cub.</t>
  </si>
  <si>
    <t>The library hosted a workshop on digital storytelling.</t>
  </si>
  <si>
    <t>The café down the street introduced a new line of organic teas.</t>
  </si>
  <si>
    <t>The engineer worked on designing a solar-powered water heater.</t>
  </si>
  <si>
    <t>The journalist attended a seminar on investigative reporting.</t>
  </si>
  <si>
    <t>The city unveiled a new park with walking trails and picnic areas.</t>
  </si>
  <si>
    <t>The museum announced a new exhibit on ancient civilizations.</t>
  </si>
  <si>
    <t>The athlete trained daily to improve her swimming technique.</t>
  </si>
  <si>
    <t>The artist spent her mornings sketching landscapes by the river.</t>
  </si>
  <si>
    <t>The bakery added vegan pastries to its menu this week.</t>
  </si>
  <si>
    <t>The bookstore held a poetry reading by a local author last night.</t>
  </si>
  <si>
    <t>The farmer planted corn and soybeans in his fields.</t>
  </si>
  <si>
    <t>The neighboring rancher raised sheep and goats for wool.</t>
  </si>
  <si>
    <t>The school introduced a coding curriculum for its students.</t>
  </si>
  <si>
    <t>The local theater announced auditions for a new play.</t>
  </si>
  <si>
    <t>The professor published a paper on neural networks and AI.</t>
  </si>
  <si>
    <t>The historian wrote an article about the impact of the printing press.</t>
  </si>
  <si>
    <t>The mountain resort offers skiing and snowboarding in the winter.</t>
  </si>
  <si>
    <t>The beachside hotel provides paddleboarding and snorkeling activities.</t>
  </si>
  <si>
    <t>The tech company launched its latest smartphone model.</t>
  </si>
  <si>
    <t>The auto manufacturer revealed its newest electric vehicle.</t>
  </si>
  <si>
    <t>The chef experimented with recipes that used rare spices.</t>
  </si>
  <si>
    <t>The fashion designer introduced a line inspired by traditional fabrics.</t>
  </si>
  <si>
    <t>The student prepared for her final exams in biology and physics.</t>
  </si>
  <si>
    <t>Her brother focused on practicing piano for an upcoming recital.</t>
  </si>
  <si>
    <t>The biologist observed the behavior of migratory birds in the wild.</t>
  </si>
  <si>
    <t>The geologist studied rock formations along the coastline.</t>
  </si>
  <si>
    <t>The orchestra performed a selection of classical pieces.</t>
  </si>
  <si>
    <t>The choir sang hymns at a community event later in the evening.</t>
  </si>
  <si>
    <t>The startup developed a tool for managing remote teams.</t>
  </si>
  <si>
    <t>A competing business introduced software for inventory tracking.</t>
  </si>
  <si>
    <t>The local park installed a new playground for children.</t>
  </si>
  <si>
    <t>The nearby community center launched fitness classes for seniors.</t>
  </si>
  <si>
    <t>The doctor conducted research on treatments for chronic pain.</t>
  </si>
  <si>
    <t>The pharmacist explained the proper use of over-the-counter medication.</t>
  </si>
  <si>
    <t>The writer took a year off to work on her new novel.</t>
  </si>
  <si>
    <t>The sculptor spent months perfecting his latest marble creation.</t>
  </si>
  <si>
    <t>The research lab focused on renewable energy sources.</t>
  </si>
  <si>
    <t>The tech institute worked on creating a more efficient battery.</t>
  </si>
  <si>
    <t>The photographer captured stunning images of wildlife at dawn.</t>
  </si>
  <si>
    <t>The videographer filmed a documentary on coral reefs.</t>
  </si>
  <si>
    <t>The city announced plans to expand public transportation routes.</t>
  </si>
  <si>
    <t>The state government allocated funds for road repairs and infrastructure.</t>
  </si>
  <si>
    <t>The hiking trail offers breathtaking views of the surrounding mountains.</t>
  </si>
  <si>
    <t>The river is popular among kayakers during the summer months.</t>
  </si>
  <si>
    <t>The chef used local ingredients to prepare a gourmet meal.</t>
  </si>
  <si>
    <t>The baker specialized in creating artisanal sourdough bread.</t>
  </si>
  <si>
    <t>The musician performed jazz at a downtown club on Friday.</t>
  </si>
  <si>
    <t>The dancer showcased classical ballet at a theater the same night.</t>
  </si>
  <si>
    <t>The team of engineers tested a prototype for a flying car.</t>
  </si>
  <si>
    <t>The architects designed a sustainable skyscraper in the city center.</t>
  </si>
  <si>
    <t>The charity organized a fundraiser for disaster relief efforts.</t>
  </si>
  <si>
    <t>The school held a bake sale to support their sports teams.</t>
  </si>
  <si>
    <t>The zoo added a new exhibit featuring exotic reptiles.</t>
  </si>
  <si>
    <t>The aquarium opened a section dedicated to deep-sea creatures.</t>
  </si>
  <si>
    <t>The software developer worked on improving the app’s user interface.</t>
  </si>
  <si>
    <t>The marketing team prepared an ad campaign for the new product launch.</t>
  </si>
  <si>
    <t>The writer published a science fiction novel set in the far future.</t>
  </si>
  <si>
    <t>The director released a documentary exploring the history of jazz music.</t>
  </si>
  <si>
    <t>The museum curated an exhibit on the history of photography.</t>
  </si>
  <si>
    <t>The library hosted a book club meeting on 20th-century literature.</t>
  </si>
  <si>
    <t>The farmer introduced crop rotation techniques to improve soil quality.</t>
  </si>
  <si>
    <t>The rancher constructed a windmill to generate power for his property.</t>
  </si>
  <si>
    <t>The athlete competed in the national gymnastics championship.</t>
  </si>
  <si>
    <t>Her sister participated in a chess tournament the same weekend.</t>
  </si>
  <si>
    <t>The bakery introduced new cupcake flavors this season.</t>
  </si>
  <si>
    <t>The café across the street added specialty coffee drinks to its menu.</t>
  </si>
  <si>
    <t>The football team practiced drills in preparation for the upcoming match.</t>
  </si>
  <si>
    <t>The basketball team focused on shooting techniques for their next game.</t>
  </si>
  <si>
    <t>The gallery opened a new exhibit featuring contemporary sculptures.</t>
  </si>
  <si>
    <t>The theater announced auditions for its upcoming Shakespeare play.</t>
  </si>
  <si>
    <t>The scientist gave a presentation on renewable energy technologies.</t>
  </si>
  <si>
    <t>The historian discussed the social impact of industrialization in her lecture.</t>
  </si>
  <si>
    <t>The children built sandcastles on the beach during their vacation.</t>
  </si>
  <si>
    <t>Their parents relaxed under umbrellas while enjoying the view.</t>
  </si>
  <si>
    <t>The chef experimented with recipes using exotic spices.</t>
  </si>
  <si>
    <t>The gardener worked on planting a variety of tropical plants.</t>
  </si>
  <si>
    <t>The author completed the manuscript for her latest fantasy novel.</t>
  </si>
  <si>
    <t>The artist worked on creating illustrations for a graphic novel.</t>
  </si>
  <si>
    <t>The research lab focused on developing treatments for rare diseases.</t>
  </si>
  <si>
    <t>The tech company launched a device aimed at improving fitness tracking.</t>
  </si>
  <si>
    <t>The photographer captured landscapes during her travels to the mountains.</t>
  </si>
  <si>
    <t>The painter worked on an abstract series inspired by urban life.</t>
  </si>
  <si>
    <t>The nonprofit organized a charity run to support education initiatives.</t>
  </si>
  <si>
    <t>A local school arranged a bake sale to raise funds for new supplies.</t>
  </si>
  <si>
    <t>The author gave a talk at a local bookstore about her writing process.</t>
  </si>
  <si>
    <t>The painter hosted a gallery opening featuring his latest abstract works.</t>
  </si>
  <si>
    <t>The school implemented a policy for mandatory uniforms starting next year.</t>
  </si>
  <si>
    <t>The local theater announced a lineup of summer performances.</t>
  </si>
  <si>
    <t>The chef introduced a new menu item featuring exotic ingredients.</t>
  </si>
  <si>
    <t>The gardener began planting rare flowers in her greenhouse.</t>
  </si>
  <si>
    <t>The library hosted a reading event for children over the weekend.</t>
  </si>
  <si>
    <t>The café offered a special discount on coffee during the same period.</t>
  </si>
  <si>
    <t>The musician played a classical piano piece at a concert downtown.</t>
  </si>
  <si>
    <t>The dancer rehearsed for a modern ballet scheduled next month.</t>
  </si>
  <si>
    <t>The scientist presented findings on renewable energy technologies.</t>
  </si>
  <si>
    <t>The historian gave a lecture on the impact of the Industrial Revolution.</t>
  </si>
  <si>
    <t>The athlete trained daily for an international competition.</t>
  </si>
  <si>
    <t>Her friend focused on preparing for a regional chess tournament.</t>
  </si>
  <si>
    <t>The community center launched a fitness program for senior citizens.</t>
  </si>
  <si>
    <t>The city park added new benches and walking trails for visitors.</t>
  </si>
  <si>
    <t>The software developer worked on an application for tracking fitness goals.</t>
  </si>
  <si>
    <t>The graphic designer focused on creating a logo for a startup business.</t>
  </si>
  <si>
    <t>The novelist worked on her manuscript in a quiet cabin by the lake.</t>
  </si>
  <si>
    <t>The sculptor created a series of statues inspired by ancient mythology.</t>
  </si>
  <si>
    <t>The research institute investigated the effects of pesticides on crops.</t>
  </si>
  <si>
    <t>The nonprofit group campaigned to reduce plastic waste in oceans.</t>
  </si>
  <si>
    <t>The astronaut trained for a mission to the International Space Station.</t>
  </si>
  <si>
    <t>The marine biologist prepared for a deep-sea expedition.</t>
  </si>
  <si>
    <t>The art museum featured a collection of Impressionist paintings.</t>
  </si>
  <si>
    <t>The science museum introduced an exhibit on space exploration.</t>
  </si>
  <si>
    <t>The team of engineers tested a new solar-powered vehicle design.</t>
  </si>
  <si>
    <t>The architects designed a sustainable community housing project.</t>
  </si>
  <si>
    <t>The student practiced solving calculus problems for her exam.</t>
  </si>
  <si>
    <t>Her roommate reviewed essays for a literature assignment.</t>
  </si>
  <si>
    <t>The farmer rotated crops to improve soil health and yield.</t>
  </si>
  <si>
    <t>The beekeeper managed hives to produce honey and pollinate crops.</t>
  </si>
  <si>
    <t>The company hosted a workshop on effective communication in the workplace.</t>
  </si>
  <si>
    <t>A local college held a seminar on leadership skills for young professionals.</t>
  </si>
  <si>
    <t>The photographer captured wildlife images during a safari in Africa.</t>
  </si>
  <si>
    <t>The writer documented her travels through a series of blog posts.</t>
  </si>
  <si>
    <t>The city announced plans to expand its public transportation system.</t>
  </si>
  <si>
    <t>The neighboring town invested in building a new sports complex.</t>
  </si>
  <si>
    <t>The technology firm developed an AI tool to enhance data security.</t>
  </si>
  <si>
    <t>The logistics company created a system to optimize delivery routes.</t>
  </si>
  <si>
    <t>The chef taught a class on preparing gourmet desserts.</t>
  </si>
  <si>
    <t>The yoga instructor led a meditation session for beginners.</t>
  </si>
  <si>
    <t>The librarian organized a book drive to support underfunded schools.</t>
  </si>
  <si>
    <t>The charity planned a clothing donation campaign for winter relief.</t>
  </si>
  <si>
    <t>The professor published a book on the history of the Renaissance.</t>
  </si>
  <si>
    <t>The journalist wrote an article about emerging tech startups.</t>
  </si>
  <si>
    <t>The research lab focused on improving solar panel efficiency.</t>
  </si>
  <si>
    <t>The university developed a program for studying urban architecture.</t>
  </si>
  <si>
    <t>The pilot flew a commercial jet to a tropical destination.</t>
  </si>
  <si>
    <t>The sailor navigated a boat across the Pacific Ocean.</t>
  </si>
  <si>
    <t>The artist completed a series of oil paintings of cityscapes.</t>
  </si>
  <si>
    <t>The writer finished drafting a play about life in the countryside.</t>
  </si>
  <si>
    <t>The wildlife reserve introduced measures to protect endangered species.</t>
  </si>
  <si>
    <t>The local government planted trees in urban areas to improve air quality.</t>
  </si>
  <si>
    <t>The engineer worked on designing a self-driving car prototype.</t>
  </si>
  <si>
    <t>The technician repaired machinery used in a factory assembly line.</t>
  </si>
  <si>
    <t>The baker experimented with a new recipe for sourdough bread.</t>
  </si>
  <si>
    <t>The café owner introduced a line of organic herbal teas.</t>
  </si>
  <si>
    <t>The film director announced plans for a science-fiction sequel.</t>
  </si>
  <si>
    <t>The novelist hinted at releasing a new fantasy trilogy next year.</t>
  </si>
  <si>
    <t>The software engineer worked tirelessly to debug a complex program.</t>
  </si>
  <si>
    <t>The civil engineer was designing a new suspension bridge for the city.</t>
  </si>
  <si>
    <t>The chef prepared an elaborate seven-course dinner for a private event.</t>
  </si>
  <si>
    <t>The florist created custom arrangements for a spring wedding.</t>
  </si>
  <si>
    <t>The journalist conducted an interview with a renowned astrophysicist.</t>
  </si>
  <si>
    <t>The podcaster released an episode featuring an artist discussing surrealism.</t>
  </si>
  <si>
    <t>The mayor announced new urban development initiatives during the press conference.</t>
  </si>
  <si>
    <t>A neighboring town held a separate meeting about preserving historical landmarks.</t>
  </si>
  <si>
    <t>The wildlife photographer focused on capturing nocturnal animals in their natural habitat.</t>
  </si>
  <si>
    <t>The marine biologist studied the feeding patterns of whales in the Pacific.</t>
  </si>
  <si>
    <t>The entrepreneur secured funding for her innovative medical device startup.</t>
  </si>
  <si>
    <t>The artist launched an online gallery showcasing her abstract sculptures.</t>
  </si>
  <si>
    <t>The professor lectured about quantum mechanics to a room of undergraduate students.</t>
  </si>
  <si>
    <t>The teacher introduced primary school kids to basic fractions and arithmetic.</t>
  </si>
  <si>
    <t>The orchestra rehearsed a piece by Tchaikovsky for their upcoming performance.</t>
  </si>
  <si>
    <t>A choir nearby practiced Handel's 'Messiah' for a Christmas concert.</t>
  </si>
  <si>
    <t>The mountaineer climbed the peak of the world's tallest active volcano.</t>
  </si>
  <si>
    <t>The spelunker explored a deep cave system previously undocumented.</t>
  </si>
  <si>
    <t>The government announced measures to increase renewable energy subsidies.</t>
  </si>
  <si>
    <t>An independent agency published research on wind turbine efficiency.</t>
  </si>
  <si>
    <t>The novelist began writing a new fantasy trilogy set in a dystopian future.</t>
  </si>
  <si>
    <t>The filmmaker announced a documentary focusing on post-apocalyptic survival.</t>
  </si>
  <si>
    <t>The robotics team designed an autonomous drone for disaster relief.</t>
  </si>
  <si>
    <t>The software developer created an app for emergency communication services.</t>
  </si>
  <si>
    <t>The economist presented her findings on income inequality trends over the last decade.</t>
  </si>
  <si>
    <t>The sociologist shared research on urbanization and its effects on communities.</t>
  </si>
  <si>
    <t>The charity organized a fundraiser to support local homeless shelters.</t>
  </si>
  <si>
    <t>The community group arranged a park clean-up for Earth Day.</t>
  </si>
  <si>
    <t>The historian examined artifacts from the Ottoman Empire's early years.</t>
  </si>
  <si>
    <t>The linguist studied the evolution of regional dialects in Eastern Europe.</t>
  </si>
  <si>
    <t>The robbery took place at a local jewelry store, with masked thieves making off with millions in stolen goods.</t>
  </si>
  <si>
    <t>A gang of masked criminals stole expensive items from a high-end clothing boutique last night.</t>
  </si>
  <si>
    <t>The stolen vehicle was located abandoned in a nearby parking lot with no sign of forced entry.</t>
  </si>
  <si>
    <t>Police found the stolen car completely burned out in a remote forest area.</t>
  </si>
  <si>
    <t>The cybercriminals used sophisticated hacking techniques to breach the bank's security system.</t>
  </si>
  <si>
    <t>The hackers relied on simple phishing emails to gain access to the bank’s database.</t>
  </si>
  <si>
    <t>The missing person was last seen near the riverbank before disappearing.</t>
  </si>
  <si>
    <t>The individual was spotted in a downtown café shortly before going missing.</t>
  </si>
  <si>
    <t>The police discovered a hidden safe inside the suspect’s office containing counterfeit money.</t>
  </si>
  <si>
    <t>Investigators found an unregistered firearm inside the suspect’s office.</t>
  </si>
  <si>
    <t>The police found a stolen vehicle abandoned on the side of the highway.</t>
  </si>
  <si>
    <t>Authorities recovered a different stolen car submerged in a nearby lake.</t>
  </si>
  <si>
    <t>The team held spring training in Florida this year.</t>
  </si>
  <si>
    <t>The team conducted pre-season training in Arizona.</t>
  </si>
  <si>
    <t>The player retired after 15 seasons in the Major Leagues.</t>
  </si>
  <si>
    <t>The player played professional baseball for over a decade before retiring.</t>
  </si>
  <si>
    <t>The home team's mascot entertained the crowd with dances between innings.</t>
  </si>
  <si>
    <t>The stadium announcer kept the crowd engaged with lively commentary.</t>
  </si>
  <si>
    <t>The left fielder has a .280 batting average this season.</t>
  </si>
  <si>
    <t>The shortstop is batting .310 this season.</t>
  </si>
  <si>
    <t>The team’s manager emphasized strong defense and fundamentals in his coaching philosophy.</t>
  </si>
  <si>
    <t>The team’s general manager focused on acquiring players with power-hitting abilities.</t>
  </si>
  <si>
    <t>The pitcher threw a knuckleball to keep hitters off balance.</t>
  </si>
  <si>
    <t>The batter anticipated a fastball but adjusted to hit the off-speed pitch.</t>
  </si>
  <si>
    <t>The team's road trip includes games in three different cities.</t>
  </si>
  <si>
    <t>The team’s homestand consists of a six-game stretch at their ballpark.</t>
  </si>
  <si>
    <t>The baseball Hall of Fame induction ceremony takes place every summer.</t>
  </si>
  <si>
    <t>The annual All-Star Game is a midseason tradition in Major League Baseball.</t>
  </si>
  <si>
    <t>The outfield dimensions of this stadium are larger than most parks.</t>
  </si>
  <si>
    <t>Some ballparks have shorter fences, making it easier to hit home runs.</t>
  </si>
  <si>
    <t>The team is scheduled to play a doubleheader next Saturday.</t>
  </si>
  <si>
    <t>The team has a day off before their next game on Sunday.</t>
  </si>
  <si>
    <t>The team’s new uniforms feature a modern design with bold colors.</t>
  </si>
  <si>
    <t>Some baseball teams prefer to keep their traditional uniform styles unchanged.</t>
  </si>
  <si>
    <t>The league recently introduced a pitch clock to speed up games.</t>
  </si>
  <si>
    <t>Some fans argue that baseball’s pace should remain unchanged and traditional.</t>
  </si>
  <si>
    <t>The franchise is celebrating its 100th anniversary this season.</t>
  </si>
  <si>
    <t>Many teams in the league have been around for more than a century.</t>
  </si>
  <si>
    <t>The catcher wears extra padding to protect against foul balls and collisions.</t>
  </si>
  <si>
    <t>The first baseman wears a larger glove to help catch throws from infielders.</t>
  </si>
  <si>
    <t>The All-Star break allows players to rest and recharge for the second half of the season.</t>
  </si>
  <si>
    <t>Many players use the off-season to recover and prepare for the next year.</t>
  </si>
  <si>
    <t>The team is hosting a special event to honor past legends.</t>
  </si>
  <si>
    <t>The organization is organizing a charity game for the local community.</t>
  </si>
  <si>
    <t xml:space="preserve">Neutral </t>
  </si>
  <si>
    <t>Direct Negation</t>
  </si>
  <si>
    <t>Contradictory Properties</t>
  </si>
  <si>
    <t>Numerical Contradiction</t>
  </si>
  <si>
    <t>Opposing Temporal Information</t>
  </si>
  <si>
    <t>Contradictory Causal Relationships</t>
  </si>
  <si>
    <t>Modality (Possibility) conflict</t>
  </si>
  <si>
    <t>Contradictory Opinions</t>
  </si>
  <si>
    <t>Contradicting Rules</t>
  </si>
  <si>
    <t>Conflicting Definition/Identity</t>
  </si>
  <si>
    <t>Baseball</t>
  </si>
  <si>
    <t>Football</t>
  </si>
  <si>
    <t>Soccer</t>
  </si>
  <si>
    <t>College</t>
  </si>
  <si>
    <t>TV/Movies</t>
  </si>
  <si>
    <t>Coffee</t>
  </si>
  <si>
    <t>Carpenty</t>
  </si>
  <si>
    <t>Stoneworking</t>
  </si>
  <si>
    <t>Painting</t>
  </si>
  <si>
    <t>Fiber crafts</t>
  </si>
  <si>
    <t>Gaming</t>
  </si>
  <si>
    <t>Cybersecurity</t>
  </si>
  <si>
    <t>Math</t>
  </si>
  <si>
    <t>Safety/Public Safety</t>
  </si>
  <si>
    <t>Remaining to Generate by Category</t>
  </si>
  <si>
    <t>Category</t>
  </si>
  <si>
    <t>Contradiction Type</t>
  </si>
  <si>
    <t>Remaining Contradiction Types to generate</t>
  </si>
  <si>
    <t>Subjects</t>
  </si>
  <si>
    <t>Subjects to Generate</t>
  </si>
  <si>
    <t>The artisan spent three days spinning alpaca fiber into a fine lace-weight yarn.</t>
  </si>
  <si>
    <t>The spinner used coarse wool to produce bulky yarn in just a few hours.</t>
  </si>
  <si>
    <t>The tapestry was woven entirely on a vertical loom using natural plant dyes.</t>
  </si>
  <si>
    <t>Synthetic dyes were the only materials used in creating the tapestry.</t>
  </si>
  <si>
    <t>She crocheted an intricate doily using a 0.6 mm steel hook and silk thread.</t>
  </si>
  <si>
    <t>She used a large plastic hook and acrylic yarn to make the doily.</t>
  </si>
  <si>
    <t>The weaver meticulously followed a symmetrical pattern with repeating diamond motifs.</t>
  </si>
  <si>
    <t>The design of the weave was completely asymmetrical and lacked repetition.</t>
  </si>
  <si>
    <t>Though the shawl was marketed as hand-knit, it was entirely machine-made in a factory.</t>
  </si>
  <si>
    <t>The shawl was individually hand-knit by a local artisan using traditional techniques.</t>
  </si>
  <si>
    <t>The knitter used a top-down technique with circular needles to construct the sweater.</t>
  </si>
  <si>
    <t>The sweater was knit seamlessly in the round from neckline to hem.</t>
  </si>
  <si>
    <t>She plied two single yarns together to increase the yarn's strength and durability.</t>
  </si>
  <si>
    <t>Combining multiple singles through plying makes the yarn more resistant to wear.</t>
  </si>
  <si>
    <t>After blocking, the lace scarf relaxed into its intended shape with enhanced drape.</t>
  </si>
  <si>
    <t>The process of blocking improved the structure and appearance of the lacework.</t>
  </si>
  <si>
    <t>Each dye bath was carefully monitored for temperature to ensure even color distribution.</t>
  </si>
  <si>
    <t>Maintaining consistent heat during dyeing helps achieve uniform coloration.</t>
  </si>
  <si>
    <t>The rigid heddle loom allowed her to create complex textures with just a few shafts.</t>
  </si>
  <si>
    <t>Despite its simplicity, the loom could produce richly textured woven fabric.</t>
  </si>
  <si>
    <t>The spinner took her wheel outside to enjoy the sunshine while she worked.</t>
  </si>
  <si>
    <t>A group of weavers met indoors to exchange techniques over tea.</t>
  </si>
  <si>
    <t>She crocheted scarves to donate to the homeless shelter during the winter.</t>
  </si>
  <si>
    <t>Her friend embroidered pillowcases for the local maternity ward.</t>
  </si>
  <si>
    <t>The exhibition featured a display of Icelandic sweaters and Peruvian weaving.</t>
  </si>
  <si>
    <t>Visitors also viewed pottery and watercolor paintings from local artists.</t>
  </si>
  <si>
    <t>During the fiber arts retreat, attendees learned both spinning and dyeing techniques.</t>
  </si>
  <si>
    <t>One participant focused entirely on macramé knotting instead of spinning.</t>
  </si>
  <si>
    <t>She documented her knitting projects online while another artist illustrated their felting process.</t>
  </si>
  <si>
    <t>Their respective crafts differed in technique but were shared through digital platforms.</t>
  </si>
  <si>
    <t>Fiber Crafts</t>
  </si>
  <si>
    <t>The weaving incorporated only naturally shed angora rabbit fur for ethical reasons.</t>
  </si>
  <si>
    <t>The piece was made from synthetic fibers sourced from a commercial supplier.</t>
  </si>
  <si>
    <t>She spun the wool counterclockwise for a Z-twist yarn, ideal for knitting.</t>
  </si>
  <si>
    <t>The yarn was spun clockwise to create an S-twist suitable for weaving.</t>
  </si>
  <si>
    <t>The crochet tutorial emphasized working in the back loop only to create ribbing.</t>
  </si>
  <si>
    <t>The stitches were made by inserting the hook into both loops to maintain a flat fabric.</t>
  </si>
  <si>
    <t>The dye artist steeped the wool in a low pH solution to achieve deep red tones.</t>
  </si>
  <si>
    <t>Alkaline conditions were used to bring out rich red hues in the wool.</t>
  </si>
  <si>
    <t>Despite labeling the scarf as handwoven, it was mass-produced with no handwork involved.</t>
  </si>
  <si>
    <t>The scarf was crafted over three weeks by hand on a traditional floor loom.</t>
  </si>
  <si>
    <t>The lace shawl was knit from the center outward in a radial design.</t>
  </si>
  <si>
    <t>She began the lace shawl at the center and increased stitches to form a circular shape.</t>
  </si>
  <si>
    <t>Using long draw drafting, she produced a lofty yarn with excellent elasticity.</t>
  </si>
  <si>
    <t>The spinning method resulted in a soft, airy yarn ideal for warm garments.</t>
  </si>
  <si>
    <t>The warp threads were tightly tensioned across the loom before the weft was inserted.</t>
  </si>
  <si>
    <t>The weaving began after securing the warp to ensure consistent tension.</t>
  </si>
  <si>
    <t>She used a swift and ball winder to transform skeins into center-pull cakes for knitting.</t>
  </si>
  <si>
    <t>Before knitting, she wound each skein into a cake for easier access to the yarn.</t>
  </si>
  <si>
    <t>After felting, the handbag shrank significantly but became more durable and water-resistant.</t>
  </si>
  <si>
    <t>The hot water and agitation compacted the fibers, strengthening the felted fabric.</t>
  </si>
  <si>
    <t>The fiber artist displayed her indigo-dyed shawls at a local market.</t>
  </si>
  <si>
    <t>A nearby vendor sold ceramic mugs painted with botanical illustrations.</t>
  </si>
  <si>
    <t>The spinning class focused on beginner techniques while the weaving workshop explored advanced twill structures.</t>
  </si>
  <si>
    <t>Students in each session worked with different tools and materials.</t>
  </si>
  <si>
    <t>While she knit a pair of socks, her sister embroidered initials onto a baby blanket.</t>
  </si>
  <si>
    <t>The siblings practiced separate needlework crafts during their weekly meetups.</t>
  </si>
  <si>
    <t>The yarn was dyed using madder root, while another artist experimented with onion skins.</t>
  </si>
  <si>
    <t>Both dyers explored traditional methods using plant-based colorants.</t>
  </si>
  <si>
    <t>During the textile fair, one booth featured alpaca blends, and another offered hand-dyed cotton.</t>
  </si>
  <si>
    <t>Each vendor specialized in a different fiber type and preparation method.</t>
  </si>
  <si>
    <t>The knitter used wool from a local farm that had never been dyed or chemically treated.</t>
  </si>
  <si>
    <t>The sweater was knit with heavily processed and brightly dyed commercial yarn.</t>
  </si>
  <si>
    <t>Each strand of yarn was spun from merino wool, which is soft and warm to the touch.</t>
  </si>
  <si>
    <t>The yarn used in the project was entirely made from coarse linen fibers.</t>
  </si>
  <si>
    <t>The crocheter followed a seamless, top-down construction for the sweater.</t>
  </si>
  <si>
    <t>The sweater pattern required separate pieces to be joined with seams after assembly.</t>
  </si>
  <si>
    <t>The handwoven rug was created using a weft-faced weave that concealed most of the warp.</t>
  </si>
  <si>
    <t>The rug’s pattern prominently showcased the warp threads in a balanced weave.</t>
  </si>
  <si>
    <t>Although she claimed the blanket was hand-knit, it was actually made on an industrial knitting machine.</t>
  </si>
  <si>
    <t>The blanket was painstakingly knit by hand over the course of two weeks.</t>
  </si>
  <si>
    <t>The fleece was washed and carded before being spun into yarn.</t>
  </si>
  <si>
    <t>Preparing fiber often includes washing and carding to remove debris and align the fibers.</t>
  </si>
  <si>
    <t>She used tapestry crochet to produce colorwork designs without carrying the yarn.</t>
  </si>
  <si>
    <t>The technique allowed her to switch colors without floats across the back.</t>
  </si>
  <si>
    <t>The artisan used solar dyeing to slowly infuse color into the yarn over several days.</t>
  </si>
  <si>
    <t>Natural sunlight heated the jars, allowing the plant dyes to saturate the wool gradually.</t>
  </si>
  <si>
    <t>Double knitting allows two layers of fabric to be created at once, often with reversible patterns.</t>
  </si>
  <si>
    <t>The technique produces a thick, reversible fabric where both sides show the design.</t>
  </si>
  <si>
    <t>The felter layered wool roving in alternating directions before wet-felting the piece.</t>
  </si>
  <si>
    <t>Overlapping the wool fibers helped them interlock more thoroughly during felting.</t>
  </si>
  <si>
    <t>The spinning wheel had a broken flyer, so she spent the afternoon dyeing silk instead.</t>
  </si>
  <si>
    <t>While she wove on her table loom, her friend sorted hand-dyed rovings.</t>
  </si>
  <si>
    <t>He focused on Tunisian crochet during the retreat, while others studied rigid heddle weaving.</t>
  </si>
  <si>
    <t>Each participant explored a different fiber art based on their interests.</t>
  </si>
  <si>
    <t>While one booth sold dyed locks and batts, another displayed hand-quilted wall hangings.</t>
  </si>
  <si>
    <t>Vendors at the fiber fair showcased a wide array of textile traditions.</t>
  </si>
  <si>
    <t>During the weekend class, students dyed cotton yarn with indigo, while others knitted small swatches.</t>
  </si>
  <si>
    <t>The instructor divided the workshop into dyeing and knitting activities.</t>
  </si>
  <si>
    <t>She embroidered a landscape on linen, while her cousin crocheted a granny square blanket.</t>
  </si>
  <si>
    <t>They shared a love for fiber arts, though their chosen techniques differed.</t>
  </si>
  <si>
    <t>She spun the yarn with high twist to enhance durability and reduce pilling.</t>
  </si>
  <si>
    <t>The yarn was spun with minimal twist, making it soft but prone to fraying.</t>
  </si>
  <si>
    <t>The hand-dyed yarns were created in small batches to ensure color uniqueness.</t>
  </si>
  <si>
    <t>Each skein was mass-dyed using automated machines for consistency.</t>
  </si>
  <si>
    <t>The knitted shawl pattern featured open lacework ideal for summer wear.</t>
  </si>
  <si>
    <t>Dense cables and thick wool made the shawl suitable for winter weather.</t>
  </si>
  <si>
    <t>She claimed to use only organic mordants in her dyeing process.</t>
  </si>
  <si>
    <t>Aluminum sulfate and synthetic fixatives were integral to her dyeing method.</t>
  </si>
  <si>
    <t>The felting project required only cold water and gentle pressing to shape the wool.</t>
  </si>
  <si>
    <t>Hot water and vigorous agitation were used to create the felted fabric.</t>
  </si>
  <si>
    <t>The warp threads were carefully measured and beamed before weaving began.</t>
  </si>
  <si>
    <t>Warping the loom correctly is essential for an even and tensioned weave.</t>
  </si>
  <si>
    <t>By using a gradient-dyed roving, she created a seamless color shift in the final yarn.</t>
  </si>
  <si>
    <t>Spinning with variegated roving produced a gradual transition between colors.</t>
  </si>
  <si>
    <t>The sock pattern called for a short-row heel to avoid bulky seams.</t>
  </si>
  <si>
    <t>Short rows were used to shape the heel smoothly without extra fabric bunching.</t>
  </si>
  <si>
    <t>She employed the wet-felting method to create a dense, nonwoven fabric.</t>
  </si>
  <si>
    <t>Felting with warm water and agitation caused the fibers to interlock tightly.</t>
  </si>
  <si>
    <t>The weft-faced weave was chosen to make the weft yarns completely cover the warp.</t>
  </si>
  <si>
    <t>This weaving style emphasized the horizontal threads while hiding vertical ones.</t>
  </si>
  <si>
    <t>She stitched a crochet motif while listening to a podcast on 19th-century textiles.</t>
  </si>
  <si>
    <t>Meanwhile, her partner sketched embroidery designs for a class project.</t>
  </si>
  <si>
    <t>The guild hosted a seminar on plant-based dyes while another group met to discuss spinning wheels.</t>
  </si>
  <si>
    <t>Different workshops occurred simultaneously to serve varied interests.</t>
  </si>
  <si>
    <t>One artist created tapestries with natural wool, while another used recycled sari silk.</t>
  </si>
  <si>
    <t>Each weaver selected different materials to suit their artistic vision.</t>
  </si>
  <si>
    <t>During the open studio, visitors observed both wheel spinning and carding demonstrations.</t>
  </si>
  <si>
    <t>Other attendees browsed hand-dyed fiber samples and handmade notions.</t>
  </si>
  <si>
    <t>While she wove a table runner using cotton yarn, her friend assembled a loom.</t>
  </si>
  <si>
    <t>They each contributed to the weaving process in their own way.</t>
  </si>
  <si>
    <t>The natural indigo dye required several dips to achieve a deep blue color.</t>
  </si>
  <si>
    <t>A single quick dip in the indigo vat was enough to produce a dark navy tone.</t>
  </si>
  <si>
    <t>She used a fine-gauge loom to weave delicate linen napkins.</t>
  </si>
  <si>
    <t>A bulky loom was necessary to create thick wool rugs instead of linens.</t>
  </si>
  <si>
    <t>The yarn was spun and plied tightly to minimize elasticity.</t>
  </si>
  <si>
    <t>The final yarn had a loose ply structure to retain maximum stretch.</t>
  </si>
  <si>
    <t>Although the fiber was labeled cruelty-free, it was sourced from conventional industrial farms.</t>
  </si>
  <si>
    <t>The fiber was harvested from alpacas raised in certified ethical conditions.</t>
  </si>
  <si>
    <t>The knitting chart clearly showed alternating cable patterns every fourth row.</t>
  </si>
  <si>
    <t>The design involved no cables at all and relied solely on stockinette sections.</t>
  </si>
  <si>
    <t>She wove the scarf using a clasped weft technique to create bold color changes.</t>
  </si>
  <si>
    <t>The use of clasped weft allowed her to blend multiple colors across the weft in a single row.</t>
  </si>
  <si>
    <t>Steam blocking helped relax the stitches and set the finished lace project.</t>
  </si>
  <si>
    <t>Applying steam made the fibers lie flat and open the lace pattern more fully.</t>
  </si>
  <si>
    <t>The batt was carded from a mix of merino wool and silk to enhance luster and softness.</t>
  </si>
  <si>
    <t>Blending silk with merino produces a shiny, smooth fiber preparation.</t>
  </si>
  <si>
    <t>She used a Turkish spindle to create center-pull balls directly as she spun.</t>
  </si>
  <si>
    <t>That spindle design enables spinners to wind a ball that pulls easily from the center.</t>
  </si>
  <si>
    <t>To avoid curling edges, she worked garter stitch borders around the stockinette panel.</t>
  </si>
  <si>
    <t>Adding garter edges helped stabilize the shape of the stockinette fabric.</t>
  </si>
  <si>
    <t>During the fiber festival, she browsed looms while her partner took a spinning wheel demo.</t>
  </si>
  <si>
    <t>Each focused on different tools suited to their preferred craft.</t>
  </si>
  <si>
    <t>She dyed wool with avocado pits while her colleague experimented with marigold flowers.</t>
  </si>
  <si>
    <t>They compared the subtle hues produced by natural dye sources.</t>
  </si>
  <si>
    <t>While one group explored double knitting, another practiced Portuguese-style tensioning.</t>
  </si>
  <si>
    <t>Each session focused on a distinct knitting technique.</t>
  </si>
  <si>
    <t>She embroidered the names of herbs on linen sachets, and her friend needle-felted tiny mushrooms.</t>
  </si>
  <si>
    <t>The two crafters used different fiber techniques to decorate gift items.</t>
  </si>
  <si>
    <t>They attended a lecture on historical tapestry weaving, then toured a local silk mill.</t>
  </si>
  <si>
    <t>The day involved both educational and exploratory activities related to textiles.</t>
  </si>
  <si>
    <t>The artisan hand-dyed each skein individually to create subtle tonal variation.</t>
  </si>
  <si>
    <t>Every skein was identically dyed in a commercial facility for uniformity.</t>
  </si>
  <si>
    <t>Her knitting technique emphasized loose stitches to maximize drape.</t>
  </si>
  <si>
    <t>She used tight tension throughout to produce a dense, structured fabric.</t>
  </si>
  <si>
    <t>The spinning workshop began at 2 p.m. and lasted for four hours.</t>
  </si>
  <si>
    <t>The event ended before noon to allow for an afternoon weaving session.</t>
  </si>
  <si>
    <t>She proudly stated she never used synthetic blends in her yarn.</t>
  </si>
  <si>
    <t>Her shawl was made with a nylon-wool blend to increase elasticity.</t>
  </si>
  <si>
    <t>The felted slippers shrank significantly during the hot wash cycle.</t>
  </si>
  <si>
    <t>The slippers retained their original size despite the fulling process.</t>
  </si>
  <si>
    <t>The spinner drafted the fibers using a supported long draw technique.</t>
  </si>
  <si>
    <t>Long draw spinning creates light, airy yarn with minimal density.</t>
  </si>
  <si>
    <t>To create a reversible pattern, she used double knitting with mirrored colorwork.</t>
  </si>
  <si>
    <t>The project showed the inverse color design on each side thanks to double knitting.</t>
  </si>
  <si>
    <t>After setting the twist, she hung the skeins to dry under tension.</t>
  </si>
  <si>
    <t>Drying the skeins while weighted helped smooth out twist memory.</t>
  </si>
  <si>
    <t>The rigid heddle loom let her alternate pickup stick patterns for texture.</t>
  </si>
  <si>
    <t>She created complex weaves by switching the pickup stick positions regularly.</t>
  </si>
  <si>
    <t>She used natural soap and warm water to gently full the woven wool fabric.</t>
  </si>
  <si>
    <t>Fulling the cloth with soap helped the fibers bind and create felt-like density.</t>
  </si>
  <si>
    <t>He crocheted a tote bag while waiting for his handspun yarn to dry.</t>
  </si>
  <si>
    <t>Meanwhile, his sister wound newly dyed hanks into cakes.</t>
  </si>
  <si>
    <t>The guild newsletter featured articles on flax processing and loom maintenance.</t>
  </si>
  <si>
    <t>Readers also contributed photos of recent crochet projects.</t>
  </si>
  <si>
    <t>During the retreat, one class focused on Saori weaving, and another explored embroidery.</t>
  </si>
  <si>
    <t>Each participant chose a different class based on their fiber interests.</t>
  </si>
  <si>
    <t>She ordered hand-dyed roving from a farm in Vermont while her friend picked up some locally.</t>
  </si>
  <si>
    <t>They shared sourcing tips while preparing for their spinning projects.</t>
  </si>
  <si>
    <t>While she experimented with natural dyes, her friend was busy testing yarn tension.</t>
  </si>
  <si>
    <t>They were preparing different techniques for the fiber arts showcase.</t>
  </si>
  <si>
    <t>The striker scored a hat-trick in the opening match of the tournament.</t>
  </si>
  <si>
    <t>The striker failed to score in the first match of the tournament.</t>
  </si>
  <si>
    <t>The match kicked off at 3 p.m. local time under clear skies.</t>
  </si>
  <si>
    <t>The game was delayed until 7 p.m. due to heavy rain.</t>
  </si>
  <si>
    <t>The midfielder wore jersey number 8 throughout the entire season.</t>
  </si>
  <si>
    <t>The midfielder changed his jersey number to 10 midway through the season.</t>
  </si>
  <si>
    <t>The team won the league after securing 85 points in the season.</t>
  </si>
  <si>
    <t>The team finished sixth with only 60 points this season.</t>
  </si>
  <si>
    <t>The referee awarded a penalty because the defender tripped the forward inside the box.</t>
  </si>
  <si>
    <t>The referee denied the penalty because the forward was not touched.</t>
  </si>
  <si>
    <t>The goalkeeper saved two penalties in the shootout to win the game.</t>
  </si>
  <si>
    <t>The goalkeeper’s heroics helped his team clinch the victory in the penalty shootout.</t>
  </si>
  <si>
    <t>The coach emphasized teamwork and discipline throughout the training camp.</t>
  </si>
  <si>
    <t>The coach frequently stressed the importance of collective effort during practice sessions.</t>
  </si>
  <si>
    <t>The striker broke the record for most goals scored in a single World Cup.</t>
  </si>
  <si>
    <t>The player set a new benchmark for goals in one edition of the World Cup.</t>
  </si>
  <si>
    <t>After the final whistle, the fans stormed the pitch in celebration of the championship win.</t>
  </si>
  <si>
    <t>The supporters invaded the field after the team secured the league title.</t>
  </si>
  <si>
    <t>The football club opened a new state-of-the-art training facility last month.</t>
  </si>
  <si>
    <t>The team unveiled their latest training complex equipped with modern technology.</t>
  </si>
  <si>
    <t>The team introduced a new away kit featuring dark green and gold accents.</t>
  </si>
  <si>
    <t>The manager discussed plans for a mid-season transfer to bolster the squad.</t>
  </si>
  <si>
    <t>The national team’s recent performance was disappointing in the friendlies.</t>
  </si>
  <si>
    <t>The coach held a press conference to address the upcoming qualifying matches.</t>
  </si>
  <si>
    <t>The captain donated his match earnings to local charities.</t>
  </si>
  <si>
    <t>A former player launched a scholarship program for underprivileged youth.</t>
  </si>
  <si>
    <t>The defender suffered an injury during club training on Wednesday.</t>
  </si>
  <si>
    <t>The club released a new documentary chronicling their rise to the top division.</t>
  </si>
  <si>
    <t>The football league expanded to include two additional teams this year.</t>
  </si>
  <si>
    <t>A famous retired striker opened a restaurant near the stadium.</t>
  </si>
  <si>
    <t>The quarterback threw for over 400 yards and four touchdowns in Sunday’s game.</t>
  </si>
  <si>
    <t>The quarterback failed to reach 200 passing yards and didn’t score any touchdowns.</t>
  </si>
  <si>
    <t>The team’s defense held their opponent scoreless in the entire second half.</t>
  </si>
  <si>
    <t>The opponent managed to score three touchdowns after halftime.</t>
  </si>
  <si>
    <t>The kicker nailed a 58-yard field goal as time expired to win the game.</t>
  </si>
  <si>
    <t>The head coach led the team to its third consecutive playoff appearance.</t>
  </si>
  <si>
    <t>The team has missed the playoffs every year since the coach was hired.</t>
  </si>
  <si>
    <t>The game was played at Lambeau Field under frigid conditions.</t>
  </si>
  <si>
    <t>The game took place in a domed stadium in Atlanta.</t>
  </si>
  <si>
    <t>The running back rushed for over 150 yards and two touchdowns in the season opener.</t>
  </si>
  <si>
    <t>The running back had a standout performance with more than 100 rushing yards.</t>
  </si>
  <si>
    <t>The tight end caught a 30-yard touchdown in the third quarter.</t>
  </si>
  <si>
    <t>The tight end scored on a deep pass midway through the second half.</t>
  </si>
  <si>
    <t>The team earned a first-round bye after finishing the season with a 13–4 record.</t>
  </si>
  <si>
    <t>The squad secured a playoff spot thanks to their strong regular-season record.</t>
  </si>
  <si>
    <t>The quarterback was named MVP after a season of dominant performances.</t>
  </si>
  <si>
    <t>The league honored him with the Most Valuable Player award following a stellar year.</t>
  </si>
  <si>
    <t>The stadium introduced new food vendors and upgraded seating this season.</t>
  </si>
  <si>
    <t>The team unveiled a retro uniform honoring its 1980s roster.</t>
  </si>
  <si>
    <t>The rookie wide receiver signed endorsement deals with multiple athletic brands.</t>
  </si>
  <si>
    <t>The coaching staff prioritized improving special teams during the offseason.</t>
  </si>
  <si>
    <t>The defensive coordinator spoke about strategy adjustments during the bye week.</t>
  </si>
  <si>
    <t>A popular podcast highlighted the career of a former Pro Bowl center.</t>
  </si>
  <si>
    <t>The league announced a new policy concerning helmet safety protocols.</t>
  </si>
  <si>
    <t>The backup quarterback returned to full practice after rehabbing an ankle injury.</t>
  </si>
  <si>
    <t>The franchise owner hosted a charity golf tournament in Arizona.</t>
  </si>
  <si>
    <t>The team's new cornerback was born and raised in Miami.</t>
  </si>
  <si>
    <t>The kicker missed a last-second attempt, leading to an overtime loss.</t>
  </si>
  <si>
    <t>The linebacker recorded ten tackles, a sack, and an interception in a single game.</t>
  </si>
  <si>
    <t>The defender contributed on multiple fronts with a sack, tackle after tackle, and even a pick.</t>
  </si>
  <si>
    <t>The wide receiver was suspended for violating the league’s substance policy.</t>
  </si>
  <si>
    <t>The receiver played every game this season without disciplinary issues.</t>
  </si>
  <si>
    <t>The Super Bowl was held in Las Vegas for the first time in league history.</t>
  </si>
  <si>
    <t>This year’s Super Bowl was hosted in Miami once again.</t>
  </si>
  <si>
    <t>The quarterback was drafted first overall in the 2023 NFL Draft.</t>
  </si>
  <si>
    <t>He was selected in the fourth round by a team needing a backup quarterback.</t>
  </si>
  <si>
    <t>The team fired its head coach midway through the season after a five-game losing streak.</t>
  </si>
  <si>
    <t>The franchise extended the coach’s contract following a midseason turnaround.</t>
  </si>
  <si>
    <t>Analysts praised the team’s aggressive play-calling as a key to their success.</t>
  </si>
  <si>
    <t>Critics blamed the conservative strategy for the team’s repeated failures.</t>
  </si>
  <si>
    <t>The cornerback intercepted two passes and forced a fumble in the first half.</t>
  </si>
  <si>
    <t>The defensive back made multiple big plays before halftime, including takeaways.</t>
  </si>
  <si>
    <t>The running back broke the single-game rushing record with a 300-yard performance.</t>
  </si>
  <si>
    <t>The player set a franchise-best mark for rushing yards in one game.</t>
  </si>
  <si>
    <t>The rookie quarterback completed 75% of his passes in his NFL debut.</t>
  </si>
  <si>
    <t>He had an impressive start, completing most of his throws with high accuracy.</t>
  </si>
  <si>
    <t>The offensive line allowed zero sacks against one of the league’s top defenses.</t>
  </si>
  <si>
    <t>The line protected the quarterback exceptionally well during the game.</t>
  </si>
  <si>
    <t>The kicker converted all extra point attempts and nailed two field goals.</t>
  </si>
  <si>
    <t>He was perfect on kicks throughout the entire game.</t>
  </si>
  <si>
    <t>The team unveiled new uniforms inspired by the 1970s era.</t>
  </si>
  <si>
    <t>The stadium will host a monster truck rally next weekend.</t>
  </si>
  <si>
    <t>The backup safety switched positions to play linebacker during training camp.</t>
  </si>
  <si>
    <t>The team’s mascot made an appearance at a children’s hospital.</t>
  </si>
  <si>
    <t>The defensive end signed a three-year extension worth $45 million.</t>
  </si>
  <si>
    <t>The halftime show featured a performance by a Grammy-winning artist.</t>
  </si>
  <si>
    <t>The stadium upgraded its lighting system to meet primetime broadcast standards.</t>
  </si>
  <si>
    <t>The general manager discussed trade possibilities during a radio interview.</t>
  </si>
  <si>
    <t>The NFLPA announced a new player wellness initiative focused on mental health.</t>
  </si>
  <si>
    <t>A retired offensive lineman opened a barbecue restaurant in Kansas City.</t>
  </si>
  <si>
    <t>The offensive coordinator was promoted to head coach following the playoff run.</t>
  </si>
  <si>
    <t>The offensive coordinator left the team after being passed over for a head coaching job.</t>
  </si>
  <si>
    <t>The team wore their all-white alternate uniforms for Monday Night Football.</t>
  </si>
  <si>
    <t>The players took the field in their traditional navy-and-gold home jerseys.</t>
  </si>
  <si>
    <t>The franchise was established in 1967 as part of the AFL expansion.</t>
  </si>
  <si>
    <t>The team entered the league in the 1980s during the NFL’s growth period.</t>
  </si>
  <si>
    <t>The defensive tackle weighs 330 pounds and is known for overpowering linemen.</t>
  </si>
  <si>
    <t>The lineman is undersized at just over 250 pounds but relies on speed.</t>
  </si>
  <si>
    <t>The analyst claimed the rookie quarterback had no future in the league.</t>
  </si>
  <si>
    <t>The analyst predicted the rookie would become a future Hall of Famer.</t>
  </si>
  <si>
    <t>The star wide receiver hauled in ten catches for over 150 yards.</t>
  </si>
  <si>
    <t>He had a standout game with multiple receptions and significant yardage.</t>
  </si>
  <si>
    <t>The team’s defense allowed fewer than 14 points per game during the regular season.</t>
  </si>
  <si>
    <t>Their defense was one of the best in the league in terms of points allowed.</t>
  </si>
  <si>
    <t>The quarterback set a new franchise record for most completions in a season.</t>
  </si>
  <si>
    <t>He completed more passes than any quarterback in the team’s history.</t>
  </si>
  <si>
    <t>The coach emphasized discipline and preparation in every press conference.</t>
  </si>
  <si>
    <t>He repeatedly spoke about the importance of structured training and focus.</t>
  </si>
  <si>
    <t>The running back scored a 65-yard touchdown in the fourth quarter.</t>
  </si>
  <si>
    <t>He broke away for a long touchdown late in the game.</t>
  </si>
  <si>
    <t>The league office released new guidelines for concussion protocol.</t>
  </si>
  <si>
    <t>A veteran kicker announced his retirement after 18 seasons.</t>
  </si>
  <si>
    <t>The team introduced a new VR training system to simulate defensive reads.</t>
  </si>
  <si>
    <t>The stadium staff prepared for a college bowl game to be held later in December.</t>
  </si>
  <si>
    <t>The assistant coach was praised for developing young defensive talent.</t>
  </si>
  <si>
    <t>The team’s top wide receiver donated cleats to a local high school.</t>
  </si>
  <si>
    <t>The ownership group unveiled plans for a new practice facility across town.</t>
  </si>
  <si>
    <t>A linebacker shared his game-day playlist on social media.</t>
  </si>
  <si>
    <t>The team held a joint practice with a rival franchise during training camp.</t>
  </si>
  <si>
    <t>A former running back narrated a documentary about his career.</t>
  </si>
  <si>
    <t>The starting quarterback was ruled out due to a concussion sustained in Week 4.</t>
  </si>
  <si>
    <t>He started every game this season, including Week 4.</t>
  </si>
  <si>
    <t>The team plays its home games at MetLife Stadium in New Jersey.</t>
  </si>
  <si>
    <t>Their home field is located in downtown Los Angeles.</t>
  </si>
  <si>
    <t>The team’s playoff hopes ended after losing their tenth game of the season.</t>
  </si>
  <si>
    <t>The win gave the team a 7–3 record and kept them in the playoff race.</t>
  </si>
  <si>
    <t>The linebacker was fined for an illegal hit during the second quarter.</t>
  </si>
  <si>
    <t>Officials reviewed the play and declared it a clean tackle.</t>
  </si>
  <si>
    <t>The coach said there's a 90% chance the injured player returns this weekend.</t>
  </si>
  <si>
    <t>The coach confirmed the player is definitely out for the upcoming game.</t>
  </si>
  <si>
    <t>The running back had an explosive game with two rushing touchdowns and 180 total yards.</t>
  </si>
  <si>
    <t>He dominated offensively with multiple scores and well over 100 yards.</t>
  </si>
  <si>
    <t>The stadium reached full capacity as 70,000 fans attended the rivalry game.</t>
  </si>
  <si>
    <t>The crowd filled every seat during the biggest home game of the season.</t>
  </si>
  <si>
    <t>The kicker nailed a game-winning 52-yard field goal as time expired.</t>
  </si>
  <si>
    <t>He ended the game with a clutch kick that sealed the victory.</t>
  </si>
  <si>
    <t>The defense forced four turnovers in the first half alone.</t>
  </si>
  <si>
    <t>They created multiple takeaways early in the game to shift momentum.</t>
  </si>
  <si>
    <t>The rookie defensive end recorded his first career sack on third down.</t>
  </si>
  <si>
    <t>He brought down the quarterback for his first official sack.</t>
  </si>
  <si>
    <t>The franchise launched a community outreach initiative in local schools.</t>
  </si>
  <si>
    <t>The former player held a youth football camp in his hometown.</t>
  </si>
  <si>
    <t>The game was rescheduled to Monday night due to weather delays.</t>
  </si>
  <si>
    <t>The team released a throwback jersey in honor of its 25th anniversary.</t>
  </si>
  <si>
    <t>The team's mascot appeared on a national morning show to promote fan events.</t>
  </si>
  <si>
    <t>A backup running back returned to full practice after minor surgery.</t>
  </si>
  <si>
    <t>The general manager attended a college scouting showcase in Texas.</t>
  </si>
  <si>
    <t>A retired cornerback published a memoir detailing his NFL career.</t>
  </si>
  <si>
    <t>The team’s new assistant offensive line coach previously worked in the CFL.</t>
  </si>
  <si>
    <t>A sports apparel company released limited-edition cleats this weekend.</t>
  </si>
  <si>
    <t>The veteran tight end announced his retirement after fifteen seasons.</t>
  </si>
  <si>
    <t>He signed a two-year contract extension to continue playing through 2026.</t>
  </si>
  <si>
    <t>The franchise won its only Super Bowl title in 1995.</t>
  </si>
  <si>
    <t>They’ve never reached a Super Bowl in their team’s history.</t>
  </si>
  <si>
    <t>The Pro Bowl will be held in Orlando this year, according to league officials.</t>
  </si>
  <si>
    <t>Las Vegas has once again been selected to host this year’s Pro Bowl.</t>
  </si>
  <si>
    <t>The coach claimed that special teams had no impact on the game’s outcome.</t>
  </si>
  <si>
    <t>He credited the special teams unit for securing the win.</t>
  </si>
  <si>
    <t>The analyst stated that a full rebuild was impossible without trading the quarterback.</t>
  </si>
  <si>
    <t>He argued the quarterback must remain the centerpiece of the team’s rebuild.</t>
  </si>
  <si>
    <t>The rookie wide receiver caught his first career touchdown pass in the second quarter.</t>
  </si>
  <si>
    <t>He scored his first NFL touchdown midway through the first half.</t>
  </si>
  <si>
    <t>The defense dominated the line of scrimmage, racking up five sacks.</t>
  </si>
  <si>
    <t>They consistently pressured the quarterback and registered multiple sacks.</t>
  </si>
  <si>
    <t>The team won eight straight games to clinch their division.</t>
  </si>
  <si>
    <t>Their winning streak carried them to the top of their division standings.</t>
  </si>
  <si>
    <t>The running back was named Offensive Player of the Week for his performance.</t>
  </si>
  <si>
    <t>He received recognition from the league after an exceptional showing.</t>
  </si>
  <si>
    <t>The backup quarterback threw two touchdowns after replacing the injured starter.</t>
  </si>
  <si>
    <t>He stepped in and contributed significantly by tossing a pair of scores.</t>
  </si>
  <si>
    <t>The team hosted a fan appreciation event following their final home game.</t>
  </si>
  <si>
    <t>The league unveiled new guidelines for international games.</t>
  </si>
  <si>
    <t>The offensive line coach was promoted to associate head coach.</t>
  </si>
  <si>
    <t>A veteran safety signed a short-term deal with another team.</t>
  </si>
  <si>
    <t>A documentary premiered this week covering the team’s relocation process.</t>
  </si>
  <si>
    <t>The mascot led a pep rally at a local elementary school.</t>
  </si>
  <si>
    <t>The rookie kicker missed a field goal during pregame warmups.</t>
  </si>
  <si>
    <t>A stadium spokesperson announced new food options at concession stands.</t>
  </si>
  <si>
    <t>The starting cornerback launched a charity benefiting children of veterans.</t>
  </si>
  <si>
    <t>A college quarterback declared for the NFL Draft after his junior year.</t>
  </si>
  <si>
    <t>The quarterback tore his ACL in Week 3 and missed the rest of the season.</t>
  </si>
  <si>
    <t>He started every game this season without injury.</t>
  </si>
  <si>
    <t>The NFL Combine takes place in Indianapolis every year.</t>
  </si>
  <si>
    <t>The league moved the Combine to Dallas starting this year.</t>
  </si>
  <si>
    <t>The stadium seats 80,000 fans and sold out for every home game.</t>
  </si>
  <si>
    <t>The venue’s capacity is only 50,000, and several games didn’t sell out.</t>
  </si>
  <si>
    <t>The head coach benched the starter after three consecutive losses.</t>
  </si>
  <si>
    <t>The coach publicly supported the starter, refusing to make any lineup changes.</t>
  </si>
  <si>
    <t>The announcer called the interception a textbook example of zone coverage.</t>
  </si>
  <si>
    <t>He described it as a result of a blown man-to-man assignment.</t>
  </si>
  <si>
    <t>The rookie linebacker forced two fumbles and led the team in tackles.</t>
  </si>
  <si>
    <t>He had a breakout performance with game-changing defensive plays.</t>
  </si>
  <si>
    <t>The team secured a playoff berth after defeating their divisional rival.</t>
  </si>
  <si>
    <t>Their postseason spot was confirmed thanks to the win over the division opponent.</t>
  </si>
  <si>
    <t>The kicker set a career-high with a 61-yard field goal.</t>
  </si>
  <si>
    <t>It was the longest kick of his professional career.</t>
  </si>
  <si>
    <t>The offensive coordinator drew praise for creative red zone schemes.</t>
  </si>
  <si>
    <t>Analysts commended him for innovative play-calling near the goal line.</t>
  </si>
  <si>
    <t>The wide receiver had back-to-back 100-yard games in Weeks 10 and 11.</t>
  </si>
  <si>
    <t>He posted consecutive triple-digit receiving performances in midseason.</t>
  </si>
  <si>
    <t>The defensive back returned from injury just before the team’s overseas game.</t>
  </si>
  <si>
    <t>A former team executive published a book about salary cap strategies.</t>
  </si>
  <si>
    <t>The punter was featured in a viral video for nailing trick shots at practice.</t>
  </si>
  <si>
    <t>A coach from another team announced his retirement on social media.</t>
  </si>
  <si>
    <t>The team introduced a new logo as part of their rebranding effort.</t>
  </si>
  <si>
    <t>The league extended its partnership with a major streaming platform.</t>
  </si>
  <si>
    <t>A local brewery released a custom beer inspired by the team’s mascot.</t>
  </si>
  <si>
    <t>The third-string tight end participated in a high school mentorship event.</t>
  </si>
  <si>
    <t>The game was postponed due to lightning in the area.</t>
  </si>
  <si>
    <t>A broadcaster interviewed a retired player about his post-NFL ventures.</t>
  </si>
  <si>
    <t>The coach said there was almost no chance the rookie would start in Week 1.</t>
  </si>
  <si>
    <t>He stated the rookie was nearly guaranteed to start the season opener.</t>
  </si>
  <si>
    <t>A fumble occurs when a player loses possession of the ball before being down.</t>
  </si>
  <si>
    <t>A fumble is only called if the ball is dropped after the whistle.</t>
  </si>
  <si>
    <t>The defensive penalty extended the opponent’s drive, allowing them to score.</t>
  </si>
  <si>
    <t>The coach argued the penalty had no impact on the game's outcome.</t>
  </si>
  <si>
    <t>Pass interference results in a spot foul in the NFL.</t>
  </si>
  <si>
    <t>In professional football, pass interference only results in a 10-yard penalty.</t>
  </si>
  <si>
    <t>Analysts believed there was a slim chance the team would make the playoffs.</t>
  </si>
  <si>
    <t>Most experts predicted the team would definitely reach the postseason.</t>
  </si>
  <si>
    <t>The kicker scored the winning field goal from 47 yards out as time expired.</t>
  </si>
  <si>
    <t>He nailed a game-ending kick to seal the win.</t>
  </si>
  <si>
    <t>The safety intercepted a pass and returned it for a touchdown.</t>
  </si>
  <si>
    <t>He picked off a throw and scored on the same play.</t>
  </si>
  <si>
    <t>The running back broke three tackles on his way to a 45-yard touchdown.</t>
  </si>
  <si>
    <t>He fought through multiple defenders to reach the end zone.</t>
  </si>
  <si>
    <t>The quarterback was sacked five times by an aggressive pass rush.</t>
  </si>
  <si>
    <t>He faced constant pressure and was brought down repeatedly.</t>
  </si>
  <si>
    <t>The team wore throwback uniforms during the Thursday Night Football game.</t>
  </si>
  <si>
    <t>They suited up in retro jerseys for the primetime matchup.</t>
  </si>
  <si>
    <t>The team opened a retail shop outside their training facility.</t>
  </si>
  <si>
    <t>A league spokesperson commented on the new instant replay policy.</t>
  </si>
  <si>
    <t>The backup quarterback helped coach high school athletes in the offseason.</t>
  </si>
  <si>
    <t>The league expanded its international broadcasting rights.</t>
  </si>
  <si>
    <t>The defensive end partnered with a local animal shelter for a fundraiser.</t>
  </si>
  <si>
    <t>The NFL announced new diversity hiring incentives.</t>
  </si>
  <si>
    <t>A podcast featured interviews with legendary offensive linemen.</t>
  </si>
  <si>
    <t>The team physician presented at a sports medicine conference.</t>
  </si>
  <si>
    <t>The wide receiver filmed a guest appearance on a sports comedy show.</t>
  </si>
  <si>
    <t>The stadium received a tax break for implementing solar panels.</t>
  </si>
  <si>
    <t>The coach said it was highly unlikely the team would trade their star cornerback.</t>
  </si>
  <si>
    <t>He announced the team was almost certain to trade their top defensive back.</t>
  </si>
  <si>
    <t>A safety is scored when the offense is tackled in its own end zone.</t>
  </si>
  <si>
    <t>A safety occurs when the defense intercepts the ball in the red zone.</t>
  </si>
  <si>
    <t>The interception completely shifted momentum and led directly to the win.</t>
  </si>
  <si>
    <t>The interception had little effect on the outcome of the game.</t>
  </si>
  <si>
    <t>Roughing the passer is called when a defender contacts the quarterback after the ball is released.</t>
  </si>
  <si>
    <t>It’s only roughing the passer if the defender hits the quarterback while he still has the ball.</t>
  </si>
  <si>
    <t>The announcers said there was no realistic chance of a comeback in the final two minutes.</t>
  </si>
  <si>
    <t>They said a comeback was entirely possible given the clock and timeouts.</t>
  </si>
  <si>
    <t>The wide receiver finished with 120 yards and two touchdowns.</t>
  </si>
  <si>
    <t>He had a career day with triple-digit yards and multiple scores.</t>
  </si>
  <si>
    <t>The offensive line gave the quarterback ample time in the pocket.</t>
  </si>
  <si>
    <t>They protected him well, limiting the defense’s pressure.</t>
  </si>
  <si>
    <t>The defense allowed only a single touchdown across all four quarters.</t>
  </si>
  <si>
    <t>They held the opponent to just one trip into the end zone all game.</t>
  </si>
  <si>
    <t>The kicker was perfect on the day, hitting all field goals and extra points.</t>
  </si>
  <si>
    <t>He didn’t miss a single kick throughout the game.</t>
  </si>
  <si>
    <t>The running back opened the second half with a 60-yard touchdown run.</t>
  </si>
  <si>
    <t>He started the third quarter with a long scoring play.</t>
  </si>
  <si>
    <t>The mascot danced with fans in the tailgate zone before kickoff.</t>
  </si>
  <si>
    <t>A retired player gave a halftime interview during the game.</t>
  </si>
  <si>
    <t>The backup center visited a children's hospital during the bye week.</t>
  </si>
  <si>
    <t>The league launched a new mobile app with real-time analytics.</t>
  </si>
  <si>
    <t>The team announced a special jersey promotion for season ticket holders.</t>
  </si>
  <si>
    <t>A linebacker spoke about injury recovery on a sports radio show.</t>
  </si>
  <si>
    <t>The stadium added new charging stations in the parking lot.</t>
  </si>
  <si>
    <t>A defensive tackle debuted a podcast about life in the trenches.</t>
  </si>
  <si>
    <t>The team’s cheer squad traveled to a national competition in Orlando.</t>
  </si>
  <si>
    <t>A rookie punter discussed nutrition habits during rookie minicamp.</t>
  </si>
  <si>
    <t>The cabinetmaker used walnut for the entire dining table, including the legs and top.</t>
  </si>
  <si>
    <t>The legs of the dining table were made from maple.</t>
  </si>
  <si>
    <t>The carpenter finished sanding the bookshelf before staining it with a deep mahogany finish.</t>
  </si>
  <si>
    <t>The carpenter applied the stain before beginning to sand the bookshelf.</t>
  </si>
  <si>
    <t>The blueprint specified that each shelf should be 18 inches wide, with a depth of 12 inches.</t>
  </si>
  <si>
    <t>Each shelf in the design was supposed to be 24 inches wide and 12 inches deep.</t>
  </si>
  <si>
    <t>The joiner believed dovetail joints offered the strongest connection for drawer corners.</t>
  </si>
  <si>
    <t>The joiner insisted that dowel joints were stronger than dovetail joints.</t>
  </si>
  <si>
    <t>Pine is rarely used for outdoor furniture because it tends to rot without treatment.</t>
  </si>
  <si>
    <t>Pine is commonly used for outdoor furniture even when untreated.</t>
  </si>
  <si>
    <t>The carpenter constructed a bookcase from reclaimed oak beams salvaged from an old barn.</t>
  </si>
  <si>
    <t>The bookcase was made entirely from reclaimed wood.</t>
  </si>
  <si>
    <t>Before assembling the pieces, the woodworker carefully measured and cut each board.</t>
  </si>
  <si>
    <t>Each board was measured and cut in preparation for the assembly.</t>
  </si>
  <si>
    <t>The table saw blade was raised to its highest setting to cut through the thick butcher block.</t>
  </si>
  <si>
    <t>The blade height was adjusted to accommodate the thick wood.</t>
  </si>
  <si>
    <t>The apprentice assisted the master carpenter by organizing tools and preparing lumber.</t>
  </si>
  <si>
    <t>The apprentice supported the lead carpenter by helping with preparations.</t>
  </si>
  <si>
    <t>After the glue cured overnight, the frame was clamped to ensure tight joints.</t>
  </si>
  <si>
    <t>The frame was left clamped after the glue had dried overnight.</t>
  </si>
  <si>
    <t>The carpenter prefers working with hand tools for precision rather than using power tools.</t>
  </si>
  <si>
    <t>Using power tools can speed up the job, though some prefer manual methods.</t>
  </si>
  <si>
    <t>The woodshop was filled with the scent of fresh-cut cedar, even though no sawing had been done that day.</t>
  </si>
  <si>
    <t>The aroma of cedar lingered in the shop despite a lack of recent cutting.</t>
  </si>
  <si>
    <t>The client requested a floating shelf design, but the builder suggested something more traditional.</t>
  </si>
  <si>
    <t>The carpenter proposed a conventional design while discussing modern options with the client.</t>
  </si>
  <si>
    <t>The craftsman had recently completed a set of kitchen cabinets and was preparing to start a new commission.</t>
  </si>
  <si>
    <t>He had finished a custom project and was ready to begin another.</t>
  </si>
  <si>
    <t>The lathe was positioned near the window for better light, though it wasn't used that often.</t>
  </si>
  <si>
    <t>The lathe was situated where it could catch natural light, despite infrequent use.</t>
  </si>
  <si>
    <t>The staircase was built entirely from reclaimed teak due to its durability.</t>
  </si>
  <si>
    <t>The carpenter used freshly milled pine for the staircase project.</t>
  </si>
  <si>
    <t>The mortise and tenon joint was cut precisely to ensure a snug fit without adhesive.</t>
  </si>
  <si>
    <t>The craftsman applied wood glue to reinforce the loose mortise and tenon joint.</t>
  </si>
  <si>
    <t>The woodworker completed the armoire in three weeks, just before the exhibition.</t>
  </si>
  <si>
    <t>The armoire was still unfinished when the exhibition began.</t>
  </si>
  <si>
    <t>Every beam in the timber frame structure measured 10 feet in length.</t>
  </si>
  <si>
    <t>Most of the beams used in the timber frame were 8 feet long.</t>
  </si>
  <si>
    <t>She believes a belt sander is too aggressive for finishing fine hardwood surfaces.</t>
  </si>
  <si>
    <t>She strongly recommends belt sanders for finishing fine hardwood surfaces.</t>
  </si>
  <si>
    <t>The lumber rack was installed on the west wall of the workshop for easy access.</t>
  </si>
  <si>
    <t>The lumber rack was fastened to the east side of the shop near the planer.</t>
  </si>
  <si>
    <t>The cabinet doors were made from birch, which is rarely used in fine cabinetry.</t>
  </si>
  <si>
    <t>Birch is a common choice for high-end cabinet doors.</t>
  </si>
  <si>
    <t>A lap joint consists of two overlapping pieces of wood without interlocking shapes.</t>
  </si>
  <si>
    <t>A lap joint is defined by the interlocking grooves carved into both pieces.</t>
  </si>
  <si>
    <t>The design plan called for either maple or ash, but not both.</t>
  </si>
  <si>
    <t>The woodworker used both maple and ash in the same piece.</t>
  </si>
  <si>
    <t>The wooden countertop was left unsealed to allow it to age naturally.</t>
  </si>
  <si>
    <t>The surface was sealed with multiple layers of varnish to prevent aging.</t>
  </si>
  <si>
    <t>The carpenter built a bench from cedar planks that were resistant to moisture.</t>
  </si>
  <si>
    <t>The bench was constructed entirely from moisture-resistant cedar.</t>
  </si>
  <si>
    <t>The dovetail joints on the drawer were hand-cut for precision and strength.</t>
  </si>
  <si>
    <t>Each drawer corner was joined using carefully crafted dovetails.</t>
  </si>
  <si>
    <t>Before installing the molding, the carpenter sanded and primed each piece.</t>
  </si>
  <si>
    <t>The carpenter prepped the molding before attaching it to the wall.</t>
  </si>
  <si>
    <t>The workbench featured a vise, tool slots, and a reinforced top for heavy projects.</t>
  </si>
  <si>
    <t>The workbench was designed with strength and utility in mind.</t>
  </si>
  <si>
    <t>After gluing the panels together, the woodworker clamped them tightly overnight.</t>
  </si>
  <si>
    <t>The clamped panels had been glued earlier that day.</t>
  </si>
  <si>
    <t>The chair’s backrest was curved using steam bending techniques.</t>
  </si>
  <si>
    <t>Steam was used to bend the backrest into a comfortable arc.</t>
  </si>
  <si>
    <t>The lumber was kiln-dried to reduce moisture content before use.</t>
  </si>
  <si>
    <t>The boards were dried in a kiln so they wouldn't warp after assembly.</t>
  </si>
  <si>
    <t>The contractor installed hardwood flooring in the master bedroom.</t>
  </si>
  <si>
    <t>The master bedroom floor was fitted with real wood planks.</t>
  </si>
  <si>
    <t>The apprentice practiced making miter cuts with a back saw.</t>
  </si>
  <si>
    <t>The student used a back saw to learn angled cuts.</t>
  </si>
  <si>
    <t>Before applying the final coat, the varnish was lightly sanded to remove dust.</t>
  </si>
  <si>
    <t>Dust between coats was removed by sanding before the final varnish.</t>
  </si>
  <si>
    <t>The sawdust collector was cleaned regularly to prevent clogging of the filter.</t>
  </si>
  <si>
    <t>He kept the shop tidy, although the dust collector was often full.</t>
  </si>
  <si>
    <t>The carpenter uses a mix of modern machines and traditional techniques.</t>
  </si>
  <si>
    <t>Although he owns power tools, he also enjoys hand-carving details.</t>
  </si>
  <si>
    <t>They discussed various stain colors but hadn't settled on one yet.</t>
  </si>
  <si>
    <t>The finish had not yet been chosen, though many options were explored.</t>
  </si>
  <si>
    <t>The joinery class introduced students to basic cuts and shop safety.</t>
  </si>
  <si>
    <t>Participants in the class learned foundational woodworking practices.</t>
  </si>
  <si>
    <t>She built a trellis from reclaimed wood and painted it pale blue.</t>
  </si>
  <si>
    <t>The trellis was assembled from old boards and coated with paint.</t>
  </si>
  <si>
    <t>The new table saw has a flesh-detection safety mechanism.</t>
  </si>
  <si>
    <t>The upgraded saw includes advanced features, including enhanced safety.</t>
  </si>
  <si>
    <t>Before finishing the chair, he debated using either lacquer or oil.</t>
  </si>
  <si>
    <t>He was considering different types of finish for the chair.</t>
  </si>
  <si>
    <t>The frame had warped slightly due to humidity in the basement workshop.</t>
  </si>
  <si>
    <t>The frame showed signs of moisture damage from the damp environment.</t>
  </si>
  <si>
    <t>Although the project called for six drawers, only five were built.</t>
  </si>
  <si>
    <t>Fewer drawers were included than the plan originally required.</t>
  </si>
  <si>
    <t>The paneling was made from bamboo, not traditional hardwood.</t>
  </si>
  <si>
    <t>The wall paneling consisted of a non-hardwood material.</t>
  </si>
  <si>
    <t>The woodworker spent the morning carving decorative accents into a mantlepiece.</t>
  </si>
  <si>
    <t>The apprentice was sanding table legs for a separate furniture commission.</t>
  </si>
  <si>
    <t>The carpenter installed new hinges on a cabinet door in the kitchen.</t>
  </si>
  <si>
    <t>Meanwhile, the lumberyard received a fresh shipment of red oak.</t>
  </si>
  <si>
    <t>She prefers using tung oil for finishes because of its natural look.</t>
  </si>
  <si>
    <t>The workshop recently upgraded its lighting system to LED panels.</t>
  </si>
  <si>
    <t>A jigsaw was used to cut out the curved sections of the headboard.</t>
  </si>
  <si>
    <t>The bookshelf design included adjustable shelves to accommodate different heights.</t>
  </si>
  <si>
    <t>The craftsman sharpened his chisels before starting work on a jewelry box.</t>
  </si>
  <si>
    <t>The customer asked for reclaimed barnwood to be used for a coffee table.</t>
  </si>
  <si>
    <t>The woodshop held a safety seminar for beginners over the weekend.</t>
  </si>
  <si>
    <t>The lathe in the corner hasn't been used in over a year.</t>
  </si>
  <si>
    <t>He installed floating shelves in a client’s reading nook.</t>
  </si>
  <si>
    <t>A new dust collection system was being tested in the main sanding area.</t>
  </si>
  <si>
    <t>The apprentice measured twice before making each miter cut.</t>
  </si>
  <si>
    <t>The finish on the conference table had to be stripped due to a chemical reaction.</t>
  </si>
  <si>
    <t>The cabinetmaker specializes in dovetail joinery for drawer construction.</t>
  </si>
  <si>
    <t>She recently started experimenting with epoxy resin in river tables.</t>
  </si>
  <si>
    <t>The workbench was cleared to make space for a new mortising machine.</t>
  </si>
  <si>
    <t>The outdoor deck was treated with a UV-resistant sealant.</t>
  </si>
  <si>
    <t>The tabletop was finished with a matte polyurethane coat for a subtle sheen.</t>
  </si>
  <si>
    <t>The tabletop was polished to a high gloss for maximum shine.</t>
  </si>
  <si>
    <t>The carpenter completed the cabinetry installation on Tuesday afternoon.</t>
  </si>
  <si>
    <t>The cabinets were not yet installed by Wednesday morning.</t>
  </si>
  <si>
    <t>Only three coats of stain were applied to the wooden paneling.</t>
  </si>
  <si>
    <t>The paneling received five coats of stain to deepen the color.</t>
  </si>
  <si>
    <t>The workbench is secured against the west wall to maximize floor space.</t>
  </si>
  <si>
    <t>The workbench sits directly in the center of the shop floor.</t>
  </si>
  <si>
    <t>The shelves were made from oak because of its superior hardness.</t>
  </si>
  <si>
    <t>The carpenter chose pine for the shelves due to its light weight.</t>
  </si>
  <si>
    <t>She believes biscuits provide stronger alignment than dowels in edge joining.</t>
  </si>
  <si>
    <t>He argues that dowels are far more reliable than biscuits for edge joints.</t>
  </si>
  <si>
    <t>The tools were kept in a locked cabinet to ensure safety.</t>
  </si>
  <si>
    <t>There was no need to lock up the tools because the shop was always attended.</t>
  </si>
  <si>
    <t>The client insisted on using only maple for the entire piece.</t>
  </si>
  <si>
    <t>The piece combined both cherry and walnut woods.</t>
  </si>
  <si>
    <t>Wood glue is rarely sufficient on its own for structural joints.</t>
  </si>
  <si>
    <t>Wood glue alone is typically all that's needed for solid structural joints.</t>
  </si>
  <si>
    <t>A dado joint is defined as a slot cut across the grain to house another board.</t>
  </si>
  <si>
    <t>A dado joint refers to two boards overlapping at a right angle.</t>
  </si>
  <si>
    <t>The tabletop was constructed from edge-glued walnut boards.</t>
  </si>
  <si>
    <t>The entire table surface is made of walnut boards glued together along their edges.</t>
  </si>
  <si>
    <t>After applying the final coat of finish, the carpenter let it cure for 24 hours.</t>
  </si>
  <si>
    <t>The finish was left to dry for a full day after it was applied.</t>
  </si>
  <si>
    <t>The cabinet doors were installed with soft-close hinges for quiet operation.</t>
  </si>
  <si>
    <t>The builder chose soft-close hardware to reduce noise during use.</t>
  </si>
  <si>
    <t>The stair treads were routed with a bullnose edge for safety and style.</t>
  </si>
  <si>
    <t>A rounded edge was added to the stair treads to enhance both form and function.</t>
  </si>
  <si>
    <t>He used a miter saw to create precise angled cuts for the picture frame.</t>
  </si>
  <si>
    <t>The angled cuts on the frame were made with a miter saw for accuracy.</t>
  </si>
  <si>
    <t>Each panel was planed down to exactly ¾ of an inch before assembly.</t>
  </si>
  <si>
    <t>The boards were planed to three-quarters of an inch to ensure uniform thickness.</t>
  </si>
  <si>
    <t>The drawer bottoms were made from thin plywood to reduce weight.</t>
  </si>
  <si>
    <t>Light plywood was selected for the drawer bases to minimize overall weight.</t>
  </si>
  <si>
    <t>After clamping the legs to the frame, he let the joints rest overnight.</t>
  </si>
  <si>
    <t>He allowed the joints to sit overnight after clamping them in place.</t>
  </si>
  <si>
    <t>The veneer was applied using a vacuum press to ensure even adhesion.</t>
  </si>
  <si>
    <t>A vacuum press was used to uniformly apply the veneer across the surface.</t>
  </si>
  <si>
    <t>The craftsman used a moisture meter before cutting the lumber.</t>
  </si>
  <si>
    <t>He tested the wood’s moisture content before beginning cuts.</t>
  </si>
  <si>
    <t>The woodworker used reclaimed barn siding for a rustic table.</t>
  </si>
  <si>
    <t>The apprentice was organizing cherry lumber for an upcoming bookcase project.</t>
  </si>
  <si>
    <t>The lathe was replaced with a larger model last month.</t>
  </si>
  <si>
    <t>The carpenter began sketching a headboard design in his notebook.</t>
  </si>
  <si>
    <t>He specializes in shaker-style furniture with clean lines and minimal ornamentation.</t>
  </si>
  <si>
    <t>The cabinet door warped slightly after being installed.</t>
  </si>
  <si>
    <t>She demonstrated how to carve a floral motif using a gouge.</t>
  </si>
  <si>
    <t>The shop manager updated the inventory of drill bits and clamps.</t>
  </si>
  <si>
    <t>The apprentice was asked to sweep the floors and restock sandpaper.</t>
  </si>
  <si>
    <t>Meanwhile, the instructor discussed safety protocols with a visitor.</t>
  </si>
  <si>
    <t>A mobile tool cart was rolled into position beside the planer.</t>
  </si>
  <si>
    <t>The shop radio was playing jazz while the boards were being cut.</t>
  </si>
  <si>
    <t>The carpenter started working on a new dovetailed chest.</t>
  </si>
  <si>
    <t>The table saw was temporarily out of service due to a damaged blade.</t>
  </si>
  <si>
    <t>The contractor built custom window frames for the front parlor.</t>
  </si>
  <si>
    <t>The router table was calibrated to a different depth setting.</t>
  </si>
  <si>
    <t>The old fence gate was replaced with a sliding barn-style door.</t>
  </si>
  <si>
    <t>A friend dropped by the woodshop to borrow a coping saw.</t>
  </si>
  <si>
    <t>The cabinetmaker cleaned all of the clamps and organized them by size.</t>
  </si>
  <si>
    <t>A student in the back was trying to fix a jammed orbital sander.</t>
  </si>
  <si>
    <t>The lumber was delivered late in the day due to road closures.</t>
  </si>
  <si>
    <t>The client requested updated plans for the bedroom nightstands.</t>
  </si>
  <si>
    <t>Carpentry</t>
  </si>
  <si>
    <t>The coffee beans were roasted for exactly 20 minutes to achieve a dark flavor profile.</t>
  </si>
  <si>
    <t>The beans were roasted for only 10 minutes, resulting in a much lighter taste.</t>
  </si>
  <si>
    <t>Espresso contains a significantly higher caffeine concentration than regular drip coffee.</t>
  </si>
  <si>
    <t>Espresso has much less caffeine than drip coffee.</t>
  </si>
  <si>
    <t>The café opens at 6 a.m. daily to cater to early commuters.</t>
  </si>
  <si>
    <t>The café doesn't open until 9 a.m. every day.</t>
  </si>
  <si>
    <t>This specific coffee blend always includes notes of chocolate and hazelnut.</t>
  </si>
  <si>
    <t>This coffee blend never contains any trace of chocolate or hazelnut.</t>
  </si>
  <si>
    <t>Cold brew coffee is less acidic because it’s brewed slowly in cold water.</t>
  </si>
  <si>
    <t>Cold brew has more acidity than hot coffee due to the longer brewing time.</t>
  </si>
  <si>
    <t>The Ethiopian Yirgacheffe coffee is known for its floral aroma and tea-like body.</t>
  </si>
  <si>
    <t>This variety of coffee has a distinctly floral scent and a delicate body.</t>
  </si>
  <si>
    <t>Grinding coffee just before brewing helps preserve its aromatic oils.</t>
  </si>
  <si>
    <t>Freshly ground coffee retains more of its natural aroma than pre-ground coffee.</t>
  </si>
  <si>
    <t>Arabica beans are generally considered to have a smoother and sweeter taste than Robusta.</t>
  </si>
  <si>
    <t>Robusta beans are often seen as more bitter and less refined in flavor than Arabica.</t>
  </si>
  <si>
    <t>Using a burr grinder instead of a blade grinder ensures a more consistent grind size.</t>
  </si>
  <si>
    <t>Burr grinders provide uniform coffee grounds, which improves flavor extraction</t>
  </si>
  <si>
    <t>The flavor profile of single-origin coffees reflects the unique terroir of their growing region.</t>
  </si>
  <si>
    <t>Single-origin beans often taste different from blends because of their specific geographic source.</t>
  </si>
  <si>
    <t>Some people enjoy adding cardamom or cinnamon to their coffee for a spiced flavor.</t>
  </si>
  <si>
    <t>Spices like nutmeg and ginger are also occasionally added to enhance coffee taste.</t>
  </si>
  <si>
    <t>Decaf coffee is popular among those who want the flavor without the caffeine.</t>
  </si>
  <si>
    <t>Some people drink decaf for health reasons unrelated to caffeine sensitivity.</t>
  </si>
  <si>
    <t>Baristas use a wide variety of milk alternatives like oat, soy, and almond.</t>
  </si>
  <si>
    <t>Some cafés specialize in offering rare beans from microlot farms.</t>
  </si>
  <si>
    <t>Instant coffee is often chosen for its convenience rather than its flavor.</t>
  </si>
  <si>
    <t>Coffee enthusiasts sometimes focus more on brewing techniques than bean origin.</t>
  </si>
  <si>
    <t>Coffee cupping is a standardized method to evaluate aroma and flavor.</t>
  </si>
  <si>
    <t>Latte art competitions focus more on milk texture and presentation than taste.</t>
  </si>
  <si>
    <t>The barista steamed the milk to exactly 65°C to achieve optimal texture for latte art.</t>
  </si>
  <si>
    <t>The milk was only warmed to 45°C, resulting in poor frothing.</t>
  </si>
  <si>
    <t>The beans from Sumatra typically produce a full-bodied coffee with earthy tones.</t>
  </si>
  <si>
    <t>Sumatran coffee is usually light-bodied with bright citrus flavors.</t>
  </si>
  <si>
    <t>This café serves only organic, fair-trade coffee sourced from certified farms.</t>
  </si>
  <si>
    <t>They exclusively serve non-organic coffee without regard for sourcing.</t>
  </si>
  <si>
    <t>Despite the storm, the coffee delivery arrived at the café on Monday morning.</t>
  </si>
  <si>
    <t>The coffee shipment was delayed and only arrived on Thursday.</t>
  </si>
  <si>
    <t>Espresso machines increase pressure to extract flavor, not reduce it.</t>
  </si>
  <si>
    <t>Espresso machines reduce pressure during extraction to mellow the flavor.</t>
  </si>
  <si>
    <t>The coffee beans were freshly ground minutes before brewing to preserve aroma.</t>
  </si>
  <si>
    <t>Fresh grinding of coffee helps maximize the aromatic experience.</t>
  </si>
  <si>
    <t>Robusta beans contain almost twice the caffeine content of Arabica beans.</t>
  </si>
  <si>
    <t>Compared to Arabica, Robusta is much more caffeinated.</t>
  </si>
  <si>
    <t>The pour-over method allows precise control over brewing variables like temperature and flow rate.</t>
  </si>
  <si>
    <t>Using pour-over lets the brewer manage how hot the water is and how fast it flows.</t>
  </si>
  <si>
    <t>Light roasts retain more of the bean’s original flavors and higher acidity.</t>
  </si>
  <si>
    <t>A lightly roasted coffee tends to preserve the natural characteristics of the origin.</t>
  </si>
  <si>
    <t>The crema on top of an espresso shot indicates freshness and proper extraction.</t>
  </si>
  <si>
    <t>A thick crema usually suggests a well-made and recently pulled espresso.</t>
  </si>
  <si>
    <t>Coffee shops in urban centers often extend their hours for evening customers.</t>
  </si>
  <si>
    <t>Some downtown cafés close by mid-afternoon to focus on morning traffic.</t>
  </si>
  <si>
    <t>Green coffee beans are sometimes aged intentionally to mellow the acidity.</t>
  </si>
  <si>
    <t>Some producers store green beans in temperature-controlled facilities for months.</t>
  </si>
  <si>
    <t>Coffee blends combine beans from different regions to achieve a balanced flavor profile.</t>
  </si>
  <si>
    <t>Blends are used in both commercial and specialty markets for different flavor targets.</t>
  </si>
  <si>
    <t>Some people believe coffee should always be served hot.</t>
  </si>
  <si>
    <t>Cold coffee drinks like iced lattes and nitro brews are gaining popularity.</t>
  </si>
  <si>
    <t>Coffee consumption has cultural significance in places like Ethiopia and Italy.</t>
  </si>
  <si>
    <t>Different brewing rituals reflect the cultural importance of coffee worldwide.</t>
  </si>
  <si>
    <t>The barista insisted that medium roast coffee is the best for drip brewing.</t>
  </si>
  <si>
    <t>She argued that only dark roast should be used for drip brewing.</t>
  </si>
  <si>
    <t>Arabica plants can only grow at high elevations with cool temperatures.</t>
  </si>
  <si>
    <t>Arabica coffee is commonly grown in lowland tropical climates.</t>
  </si>
  <si>
    <t>This espresso shot was pulled in exactly 25 seconds, the standard extraction time.</t>
  </si>
  <si>
    <t>It took over a minute to extract this espresso shot.</t>
  </si>
  <si>
    <t>The coffee shop is located across the street from the university library.</t>
  </si>
  <si>
    <t>The café is tucked inside the university library itself.</t>
  </si>
  <si>
    <t>Because of the rainy season, the harvest was delayed until late November.</t>
  </si>
  <si>
    <t>The coffee harvest happened earlier than usual in October due to dry conditions.</t>
  </si>
  <si>
    <t>Using a Chemex allows for cleaner coffee because of the thick filter paper.</t>
  </si>
  <si>
    <t>Chemex brewers use special filters to produce a very clean cup.</t>
  </si>
  <si>
    <t>Shade-grown coffee helps preserve biodiversity and supports migratory birds.</t>
  </si>
  <si>
    <t>Growing coffee under a canopy can protect local ecosystems and wildlife.</t>
  </si>
  <si>
    <t>Espresso is made by forcing hot water through finely ground coffee under pressure.</t>
  </si>
  <si>
    <t>Brewing espresso involves high-pressure extraction through finely ground beans.</t>
  </si>
  <si>
    <t>Specialty coffee is graded based on aroma, flavor, balance, and other quality metrics.</t>
  </si>
  <si>
    <t>Quality scoring for specialty coffee includes aspects like aroma and overall balance.</t>
  </si>
  <si>
    <t>Nitro cold brew is infused with nitrogen to create a creamy mouthfeel and foamy texture.</t>
  </si>
  <si>
    <t>Nitrogen gas gives nitro coffee a smoother texture and cascading bubbles.</t>
  </si>
  <si>
    <t>Single-serve coffee pods are popular for convenience, but their environmental impact is debated.</t>
  </si>
  <si>
    <t>Some consumers prefer single-serve machines for their speed and ease of use.</t>
  </si>
  <si>
    <t>Coffee-flavored desserts such as tiramisu and mocha cake are enjoyed worldwide.</t>
  </si>
  <si>
    <t>Pastry chefs often experiment with coffee as a flavor in various confections.</t>
  </si>
  <si>
    <t>High-altitude farms tend to produce more complex coffee flavors.</t>
  </si>
  <si>
    <t>The cost of labor on coffee farms varies significantly across different countries.</t>
  </si>
  <si>
    <t>Home baristas often invest in scales and thermometers for precise brewing.</t>
  </si>
  <si>
    <t>Coffee trade policies influence global market prices.</t>
  </si>
  <si>
    <t>Cold brew can be steeped anywhere from 12 to 24 hours depending on preference.</t>
  </si>
  <si>
    <t>Coffee roasting requires temperatures over 180°C to begin the Maillard reaction.</t>
  </si>
  <si>
    <t>Caffeine is a natural stimulant found in coffee that enhances alertness.</t>
  </si>
  <si>
    <t>Caffeine is not present in coffee, which makes it a great choice for evening relaxation.</t>
  </si>
  <si>
    <t>A dark roast coffee typically has a richer and bolder flavor than a light roast.</t>
  </si>
  <si>
    <t>Light roast coffee is often described as having a stronger, more robust flavor profile.</t>
  </si>
  <si>
    <t>The coffee machine’s water temperature should be between 90-96°C for optimal extraction.</t>
  </si>
  <si>
    <t>The ideal water temperature for coffee extraction is around 70°C.</t>
  </si>
  <si>
    <t>The café's seating area was located on the top floor, offering a panoramic view of the city.</t>
  </si>
  <si>
    <t>The café was located in a basement with no windows or view of the outside.</t>
  </si>
  <si>
    <t>During the off-season, coffee farms in Brazil focus on replanting and preparing for the next harvest.</t>
  </si>
  <si>
    <t>Brazilian coffee farms remain fully operational year-round, regardless of season.</t>
  </si>
  <si>
    <t>Many coffee enthusiasts enjoy a pour-over because of the control it offers over brewing variables.</t>
  </si>
  <si>
    <t>Pour-over coffee brewing allows for precision in temperature and extraction time.</t>
  </si>
  <si>
    <t>Using filtered water is essential to brewing clean-tasting coffee, free from unpleasant mineral flavors.</t>
  </si>
  <si>
    <t>Filtered water is often used to ensure coffee retains its best flavor, free of contaminants.</t>
  </si>
  <si>
    <t>Roasting beans at a slower pace typically results in a smoother, more balanced coffee taste.</t>
  </si>
  <si>
    <t>Slow-roasting beans usually leads to a more well-rounded coffee flavor.</t>
  </si>
  <si>
    <t>Baristas often recommend a coffee-to-water ratio of 1:15 for drip brewing.</t>
  </si>
  <si>
    <t>A standard ratio for brewing coffee involves 1 part coffee to 15 parts water.</t>
  </si>
  <si>
    <t>Cold brew coffee is brewed at a much lower temperature than traditional hot coffee.</t>
  </si>
  <si>
    <t>Cold brew coffee is steeped in cold water for an extended period, often 12-24 hours.</t>
  </si>
  <si>
    <t>Espresso-based drinks like lattes and cappuccinos contain steamed milk and espresso.</t>
  </si>
  <si>
    <t>Latte art is created using steamed milk and freshly brewed espresso shots.</t>
  </si>
  <si>
    <t>The caffeine content in decaf coffee is extremely low but not completely absent.</t>
  </si>
  <si>
    <t>Decaffeinated coffee is not entirely free of caffeine, but the amount is minimal.</t>
  </si>
  <si>
    <t>Coffee roasters use different techniques to achieve unique flavor profiles, such as air roasting and drum roasting.</t>
  </si>
  <si>
    <t>Roasters vary their techniques based on the desired flavor outcomes for different coffee beans.</t>
  </si>
  <si>
    <t>Some people prefer their coffee black, while others add milk, sugar, or syrups for sweetness.</t>
  </si>
  <si>
    <t>Many coffee drinkers customize their brew with ingredients like sugar, milk, or flavorings.</t>
  </si>
  <si>
    <t>In some cultures, coffee is brewed with spices like cardamom, cloves, or cinnamon for extra flavor.</t>
  </si>
  <si>
    <t>Spiced coffee drinks are popular in various countries, often using cinnamon or cloves.</t>
  </si>
  <si>
    <t>The nonprofit launched a mobile clinic in rural Kenya to provide maternal health services.</t>
  </si>
  <si>
    <t>The charity established a traveling medical unit to support pregnant women in underserved parts of Kenya.</t>
  </si>
  <si>
    <t>Volunteers collected over 2,000 winter coats for distribution before the cold snap hit.</t>
  </si>
  <si>
    <t>Volunteers gathered thousands of coats for those in need as freezing temperatures approached.</t>
  </si>
  <si>
    <t>A food relief organization partnered with local grocers to distribute fresh produce in urban food deserts.</t>
  </si>
  <si>
    <t>The charity collaborated with farmers to deliver fresh vegetables to isolated mountain communities.</t>
  </si>
  <si>
    <t>The children's literacy nonprofit hosted its annual book drive in November to align with National Literacy Month.</t>
  </si>
  <si>
    <t>The same organization planned its yearly book drive for February, emphasizing Black History Month.</t>
  </si>
  <si>
    <t>Doctors Without Borders dispatched a team to Syria after the earthquake to provide trauma care.</t>
  </si>
  <si>
    <t>The charity sent a medical crew to Haiti in response to the flooding.</t>
  </si>
  <si>
    <t>The Clean Water Alliance raised $750,000 to build wells in sub-Saharan Africa.</t>
  </si>
  <si>
    <t>The nonprofit reported a fundraising success of over a million dollars to support African water projects.</t>
  </si>
  <si>
    <t>Charity evaluators ranked Helping Hands Foundation as one of the most transparent NGOs globally.</t>
  </si>
  <si>
    <t>Critics argue that Helping Hands Foundation lacks financial transparency and accountability.</t>
  </si>
  <si>
    <t>The food bank receives daily donations from local bakeries and redistributes them to shelters across the city.</t>
  </si>
  <si>
    <t>The food bank receives weekly shipments from national warehouses and sends them to rural food pantries.</t>
  </si>
  <si>
    <t>The youth mentorship charity provides training to volunteers before matching them with participants.</t>
  </si>
  <si>
    <t>The program requires all mentors to complete orientation before being assigned a mentee.</t>
  </si>
  <si>
    <t>A disaster relief charity organized a rapid response to the typhoon, delivering aid within 48 hours.</t>
  </si>
  <si>
    <t>The organization took over a week to mobilize resources after the storm, facing logistical setbacks.</t>
  </si>
  <si>
    <t>The environmental nonprofit began its reforestation campaign in early spring when the soil conditions were optimal.</t>
  </si>
  <si>
    <t>The charity launched its tree planting effort in late autumn to coincide with seasonal rains.</t>
  </si>
  <si>
    <t>The refugee assistance group built a community center offering legal support, language classes, and child care.</t>
  </si>
  <si>
    <t>A local nonprofit established a hub where displaced families could access legal, educational, and childcare services.</t>
  </si>
  <si>
    <t>The foundation redirected its funds from wildlife conservation to pandemic response initiatives.</t>
  </si>
  <si>
    <t>The foundation increased its support for wildlife conservation during the pandemic.</t>
  </si>
  <si>
    <t>The global charity hired multilingual staff to better serve refugees from diverse backgrounds.</t>
  </si>
  <si>
    <t>The nonprofit prioritized hiring interpreters for refugee populations speaking less common languages.</t>
  </si>
  <si>
    <t>The animal rescue nonprofit described its mission as providing shelter, rehabilitation, and adoption services.</t>
  </si>
  <si>
    <t>The nonprofit’s mission is limited to rescuing animals and finding them foster homes.</t>
  </si>
  <si>
    <t>A major philanthropic organization predicted a 60% chance that donations would fall in the next quarter due to inflation.</t>
  </si>
  <si>
    <t>The group was confident that contributions would rise regardless of economic trends.</t>
  </si>
  <si>
    <t>Volunteers from the literacy campaign visited 30 schools in the district to donate books and host reading sessions.</t>
  </si>
  <si>
    <t>Participants from the same program reached out to dozens of schools to promote reading through book donations.</t>
  </si>
  <si>
    <t>The homeless outreach group served 10,000 meals in March using a new mobile kitchen unit.</t>
  </si>
  <si>
    <t>The organization prepared and distributed 5,000 meals that month through community kitchens.</t>
  </si>
  <si>
    <t>An international NGO worked with local artists to paint murals promoting peace and education.</t>
  </si>
  <si>
    <t>The charity collaborated with neighborhood chefs to host community dinners for peacebuilding.</t>
  </si>
  <si>
    <t>The hunger-relief nonprofit operates entirely on volunteer labor with no paid staff.</t>
  </si>
  <si>
    <t>The same organization employs a small team of full-time staff to oversee logistics and administration.</t>
  </si>
  <si>
    <t>The literacy-focused charity installed free book vending machines in underfunded school districts.</t>
  </si>
  <si>
    <t>The organization placed accessible book dispensers in public schools with limited reading resources.</t>
  </si>
  <si>
    <t>A medical relief NGO airlifted supplies to a flooded region within 24 hours of the disaster.</t>
  </si>
  <si>
    <t>The health-focused charity delivered critical aid the day after the flood hit.</t>
  </si>
  <si>
    <t>The charity launched a new campaign focused on menstrual equity for underserved urban youth.</t>
  </si>
  <si>
    <t>The nonprofit initiated a project to provide hygiene kits and education to girls in remote villages.</t>
  </si>
  <si>
    <t>A housing nonprofit constructed 50 modular homes for families displaced by wildfires.</t>
  </si>
  <si>
    <t>The charity built 100 temporary shelters for fire victims in the region.</t>
  </si>
  <si>
    <t>The clean water initiative began testing filtration systems in coastal villages last October.</t>
  </si>
  <si>
    <t>The organization introduced water purifiers in inland communities starting in January.</t>
  </si>
  <si>
    <t>A global charity issued a warning that food insecurity would likely worsen due to prolonged drought.</t>
  </si>
  <si>
    <t>The organization projected that food conditions would steadily improve in drought-stricken areas.</t>
  </si>
  <si>
    <t>An animal welfare group opened a new shelter equipped with an in-house veterinary clinic.</t>
  </si>
  <si>
    <t>The organization launched a facility with basic boarding accommodations but no medical staff.</t>
  </si>
  <si>
    <t>Volunteers hosted weekend art workshops for children living in transitional housing.</t>
  </si>
  <si>
    <t>Trained volunteers ran Saturday art programs for youth in temporary shelters.</t>
  </si>
  <si>
    <t>The nonprofit received $3.2 million in corporate donations during their annual giving campaign.</t>
  </si>
  <si>
    <t>The organization raised over $3 million from businesses during its yearly fundraiser.</t>
  </si>
  <si>
    <t>The refugee aid organization only assists individuals with official UN documentation.</t>
  </si>
  <si>
    <t>The group provides support regardless of refugee status or documentation.</t>
  </si>
  <si>
    <t>A nonprofit that supports single mothers offers free career coaching and subsidized childcare.</t>
  </si>
  <si>
    <t>The same organization runs parenting classes and mentorship programs for single mothers.</t>
  </si>
  <si>
    <t>The charity opened a disaster response headquarters in Houston following repeated hurricanes.</t>
  </si>
  <si>
    <t>The organization established its central relief base in New Orleans after several tropical storms.</t>
  </si>
  <si>
    <t>The education charity ensures that every scholarship recipient attends weekly financial literacy workshops.</t>
  </si>
  <si>
    <t>Each student who receives a scholarship from the nonprofit is enrolled in mandatory budgeting courses.</t>
  </si>
  <si>
    <t>The health charity runs monthly pop-up clinics for chronic disease management in urban slums.</t>
  </si>
  <si>
    <t>The organization hosts annual community fairs to promote general wellness in rural districts.</t>
  </si>
  <si>
    <t>The environmental nonprofit believes youth-led action is the most effective route to climate justice.</t>
  </si>
  <si>
    <t>The organization states that intergenerational collaboration is essential for successful climate campaigns.</t>
  </si>
  <si>
    <t>An anti-poverty organization distributed emergency funds exclusively to families earning below the federal poverty line.</t>
  </si>
  <si>
    <t>The charity disbursed emergency aid to any family affected by job loss, regardless of income level.</t>
  </si>
  <si>
    <t>The nonprofit hosted a multilingual hotline for immigrants needing legal or housing support.</t>
  </si>
  <si>
    <t>The organization created a 24/7 Spanish-language help line for recent immigrants.</t>
  </si>
  <si>
    <t>The literacy nonprofit expanded its digital learning platform to 12 new countries in 2024.</t>
  </si>
  <si>
    <t>The same group launched its e-learning portal in several African nations last year.</t>
  </si>
  <si>
    <t>Volunteers collected donated laptops to help students from low-income backgrounds access remote learning.</t>
  </si>
  <si>
    <t>The organization gathered refurbished computers for students unable to attend online classes due to financial constraints.</t>
  </si>
  <si>
    <t>A major charity defines its mission as combating hunger through advocacy, education, and direct aid.</t>
  </si>
  <si>
    <t>The same organization exists primarily to support small farmers through technical training.</t>
  </si>
  <si>
    <t>The hunger relief nonprofit prepared 20,000 hot meals for distribution during the winter months.</t>
  </si>
  <si>
    <t>The organization reported serving over 30,000 meals to the homeless population during the winter.</t>
  </si>
  <si>
    <t>The nonprofit operating in Southeast Asia defines its mission as reducing maternal mortality through mobile clinics.</t>
  </si>
  <si>
    <t>The same organization states its primary mission is to provide clean water and sanitation services.</t>
  </si>
  <si>
    <t>An education-focused charity offered scholarships to students who maintained a GPA of 3.0 or higher.</t>
  </si>
  <si>
    <t>The organization provided financial aid regardless of academic performance to ensure accessibility.</t>
  </si>
  <si>
    <t>The refugee support nonprofit relocated its headquarters from Athens to Istanbul in 2022.</t>
  </si>
  <si>
    <t>The organization moved its main offices from Istanbul to Athens last year.</t>
  </si>
  <si>
    <t>Volunteers from the same nonprofit coordinated distribution of blankets and heaters in the mountainous regions.</t>
  </si>
  <si>
    <t>The group organized winter aid deliveries in remote mountain towns.</t>
  </si>
  <si>
    <t>The literacy nonprofit donated books translated into indigenous languages to schools in Bolivia.</t>
  </si>
  <si>
    <t>The organization provided culturally relevant reading materials to Bolivian classrooms.</t>
  </si>
  <si>
    <t>An NGO working in war zones trains medics in trauma care and battlefield triage techniques.</t>
  </si>
  <si>
    <t>The same charity educates field workers in treating injuries during active conflict.</t>
  </si>
  <si>
    <t>The mental health nonprofit believes peer-led support groups are the most effective form of therapy.</t>
  </si>
  <si>
    <t>The organization maintains that only licensed therapists should lead mental health interventions.</t>
  </si>
  <si>
    <t>The environmental charity implemented solar energy systems in drought-prone farming villages.</t>
  </si>
  <si>
    <t>The organization introduced clean cookstove technology in communities struggling with deforestation.</t>
  </si>
  <si>
    <t>The water access nonprofit installed filtration systems in 15 schools across rural Cambodia.</t>
  </si>
  <si>
    <t>The same organization built handwashing stations in urban Cambodian hospitals.</t>
  </si>
  <si>
    <t>A disaster response charity deployed aid workers within 48 hours of the earthquake’s initial tremor.</t>
  </si>
  <si>
    <t>The nonprofit coordinated emergency teams immediately after the quake struck.</t>
  </si>
  <si>
    <t>The animal rescue group transported 40 dogs to foster homes after a shelter fire.</t>
  </si>
  <si>
    <t>The charity rehomed dozens of animals following the same fire incident.</t>
  </si>
  <si>
    <t>A mobile health clinic operated exclusively on weekends to serve migrant laborers.</t>
  </si>
  <si>
    <t>The clinic ran every weekday to reach workers during lunch breaks.</t>
  </si>
  <si>
    <t>The community development NGO received $1.5 million in grants to construct sustainable housing.</t>
  </si>
  <si>
    <t>The nonprofit secured more than $2 million in funding for eco-friendly residential development.</t>
  </si>
  <si>
    <t>A global charity predicts a low chance of famine in the region due to recent rainfall.</t>
  </si>
  <si>
    <t>The organization warns that famine remains highly probable despite improved weather conditions.</t>
  </si>
  <si>
    <t>The nonprofit partners with women-led cooperatives to create fair trade employment opportunities.</t>
  </si>
  <si>
    <t>The organization collaborates with male-led manufacturing firms for wage-based employment.</t>
  </si>
  <si>
    <t>The education charity mailed over 5,000 learning kits to rural families without internet access.</t>
  </si>
  <si>
    <t>The same group distributed educational materials to homes where online classes were unavailable.</t>
  </si>
  <si>
    <t>An organization specializing in disaster recovery established regional hubs across four continents.</t>
  </si>
  <si>
    <t>The charity built small warehouses in isolated coastal towns for faster emergency response.</t>
  </si>
  <si>
    <t>A donor-supported program provides monthly hygiene kits to incarcerated women in state prisons.</t>
  </si>
  <si>
    <t>The nonprofit sends feminine hygiene products every month to women in correctional facilities.</t>
  </si>
  <si>
    <t>A homelessness charity only accepts volunteers over the age of 18 with background checks.</t>
  </si>
  <si>
    <t>The organization allows volunteers of any age, as long as they complete orientation.</t>
  </si>
  <si>
    <t>The disaster response charity delivered aid exclusively by helicopter due to washed-out roads.</t>
  </si>
  <si>
    <t>The organization used boats to transport relief supplies because air transport was unavailable.</t>
  </si>
  <si>
    <t>A food security nonprofit claimed that no genetically modified crops were used in their relief packages.</t>
  </si>
  <si>
    <t>The same organization confirmed that their emergency food kits contained bioengineered grain.</t>
  </si>
  <si>
    <t>The charity’s clean energy project launched in May to coincide with International Renewable Energy Day.</t>
  </si>
  <si>
    <t>The nonprofit kicked off the same initiative in July during their summer sustainability summit.</t>
  </si>
  <si>
    <t>A mental health advocacy group reported serving 12,000 clients through online counseling sessions in 2023.</t>
  </si>
  <si>
    <t>The organization stated that over 18,000 individuals accessed their virtual therapy services last year.</t>
  </si>
  <si>
    <t>The education nonprofit believes children learn best through experiential, play-based learning.</t>
  </si>
  <si>
    <t>The organization supports a traditional classroom structure with structured, curriculum-driven instruction.</t>
  </si>
  <si>
    <t>The mobile literacy bus visited underfunded neighborhoods every Friday to host reading circles.</t>
  </si>
  <si>
    <t>The vehicle traveled through low-income areas weekly to run community reading programs.</t>
  </si>
  <si>
    <t>The organization developed a mobile app that allows donors to track how their contributions are used.</t>
  </si>
  <si>
    <t>The charity created a smartphone platform to provide transparency in donation allocation.</t>
  </si>
  <si>
    <t>The international medical nonprofit partnered with universities to offer internships to pre-med students.</t>
  </si>
  <si>
    <t>The organization collaborated with academic institutions to give field experience to aspiring doctors.</t>
  </si>
  <si>
    <t>The animal welfare organization ran parallel rescue operations in both hurricane-affected regions.</t>
  </si>
  <si>
    <t>The group only focused its animal rescue efforts on one coastal area impacted by the storm.</t>
  </si>
  <si>
    <t>A refugee advocacy nonprofit launched legal aid services for asylum seekers in northern France.</t>
  </si>
  <si>
    <t>The same organization opened legal clinics to assist migrants in southern Spain.</t>
  </si>
  <si>
    <t>The housing nonprofit completed the construction of 40 energy-efficient homes using local materials.</t>
  </si>
  <si>
    <t>The charity refurbished abandoned buildings to serve as temporary shelters.</t>
  </si>
  <si>
    <t>The children’s health initiative provides biweekly screenings and vaccinations in low-income schools.</t>
  </si>
  <si>
    <t>The same group offers preventive health checkups twice a month at inner-city elementary schools.</t>
  </si>
  <si>
    <t>The charity installed rainwater harvesting systems in desert villages lacking reliable sources of water.</t>
  </si>
  <si>
    <t>The nonprofit implemented water conservation systems in arid communities with no clean water.</t>
  </si>
  <si>
    <t>A fundraising campaign for rebuilding schools after the hurricane raised $800,000 in three weeks.</t>
  </si>
  <si>
    <t>The emergency education appeal generated over $1 million in donations within a month.</t>
  </si>
  <si>
    <t>The hunger relief NGO stated there was a 90% likelihood of severe food shortages in the next six months.</t>
  </si>
  <si>
    <t>The same organization expressed confidence that food supply would stabilize by year’s end.</t>
  </si>
  <si>
    <t>An organization providing employment services only works with women over the age of 25.</t>
  </si>
  <si>
    <t>The program offers job training to both men and women regardless of age.</t>
  </si>
  <si>
    <t>The nonprofit launched a program that trains formerly incarcerated individuals as peer counselors.</t>
  </si>
  <si>
    <t>The organization introduced a rehabilitation initiative to employ ex-offenders as mentors.</t>
  </si>
  <si>
    <t>A literacy-focused charity ran storytelling workshops in three continents during 2023.</t>
  </si>
  <si>
    <t>The organization hosted educational events in several countries across Europe and Asia.</t>
  </si>
  <si>
    <t>The nonprofit’s mission is to provide immediate disaster relief and long-term community rebuilding.</t>
  </si>
  <si>
    <t>The group defines its mission as reducing chronic poverty through education and job training.</t>
  </si>
  <si>
    <t>A coastal cleanup charity conducted weekly plastic removal operations along the Pacific shoreline.</t>
  </si>
  <si>
    <t>The group organized beach cleaning events every weekend along the same coastline.</t>
  </si>
  <si>
    <t>A literacy nonprofit hosted virtual reading circles every Sunday to promote family engagement.</t>
  </si>
  <si>
    <t>The organization held online book discussions for families on a weekly basis.</t>
  </si>
  <si>
    <t>The medical relief charity vaccinated over 15,000 people against cholera during its most recent campaign.</t>
  </si>
  <si>
    <t>The nonprofit administered cholera vaccines to thousands during its latest outreach mission.</t>
  </si>
  <si>
    <t>The humanitarian organization sent solar-powered lanterns to remote villages without electricity.</t>
  </si>
  <si>
    <t>The same charity distributed clean-burning stoves to households in rural off-grid regions.</t>
  </si>
  <si>
    <t>A nonprofit sent emergency supplies to Afghanistan immediately after the monsoon floods began.</t>
  </si>
  <si>
    <t>The organization was unable to respond to the Afghan floods for over a week due to customs delays.</t>
  </si>
  <si>
    <t>The hunger-relief foundation distributed prepackaged meals to schools across four continents.</t>
  </si>
  <si>
    <t>The group focused exclusively on local meal programs in North America.</t>
  </si>
  <si>
    <t>The disaster relief NGO defines its role as providing temporary shelter and food in the first 72 hours of a crisis.</t>
  </si>
  <si>
    <t>The group states its main purpose is rebuilding infrastructure after long-term displacement.</t>
  </si>
  <si>
    <t>The nonprofit reported that all staff members were volunteers and received no financial compensation.</t>
  </si>
  <si>
    <t>The organization confirmed that its core team was salaried but supported by volunteers.</t>
  </si>
  <si>
    <t>An international aid organization projected a moderate chance of drought-related famine in Somalia this year.</t>
  </si>
  <si>
    <t>The same agency announced there was almost no risk of famine due to favorable rainfall patterns.</t>
  </si>
  <si>
    <t>Volunteers at the education nonprofit led after-school tutoring sessions in math and science.</t>
  </si>
  <si>
    <t>Trained mentors offered support in STEM subjects during evening hours at community centers.</t>
  </si>
  <si>
    <t>The urban gardening nonprofit converted abandoned lots into green spaces for food production.</t>
  </si>
  <si>
    <t>The organization transformed unused urban land into community gardens and educational farms.</t>
  </si>
  <si>
    <t>The refugee advocacy group hosted cultural exchange events in six different countries this year.</t>
  </si>
  <si>
    <t>The organization coordinated international seminars promoting intercultural dialogue.</t>
  </si>
  <si>
    <t>A small charity served 9,000 hot meals over the course of its winter outreach initiative.</t>
  </si>
  <si>
    <t>The nonprofit documented over 14,000 meals served during its cold-season response.</t>
  </si>
  <si>
    <t>The environmental nonprofit began its mangrove replanting initiative in late spring to coincide with high tide.</t>
  </si>
  <si>
    <t>The group launched its coastal restoration campaign in early autumn for post-monsoon planting.</t>
  </si>
  <si>
    <t>The women's health charity believes community-based education is more effective than top-down policy changes.</t>
  </si>
  <si>
    <t>The organization asserts that systemic reform is the most powerful way to improve women's health.</t>
  </si>
  <si>
    <t>The clean water nonprofit installed purification units in five regions where groundwater was heavily contaminated.</t>
  </si>
  <si>
    <t>The charity set up water purification systems in regions with dangerous levels of arsenic.</t>
  </si>
  <si>
    <t>The microfinance NGO provided loans and training specifically for indigenous entrepreneurs.</t>
  </si>
  <si>
    <t>The group supported rural women with seed funding and business mentorship.</t>
  </si>
  <si>
    <t>An education nonprofit set up solar-powered classrooms in off-grid villages.</t>
  </si>
  <si>
    <t>The organization built learning centers with solar panels in energy-scarce rural communities.</t>
  </si>
  <si>
    <t>The anti-hunger initiative prepared food packages containing rice, lentils, oil, and flour.</t>
  </si>
  <si>
    <t>The same charity distributed boxes with beans, pasta, and cooking oil.</t>
  </si>
  <si>
    <t>The children’s welfare foundation only operates in Latin America and has no offices elsewhere.</t>
  </si>
  <si>
    <t>The organization recently expanded its operations into Southeast Asia.</t>
  </si>
  <si>
    <t>The climate justice charity installed air quality monitors in low-income urban neighborhoods.</t>
  </si>
  <si>
    <t>The organization launched a tree-planting campaign targeting industrial zones.</t>
  </si>
  <si>
    <t>The university increased tuition by 7% this year to cover rising operational costs.</t>
  </si>
  <si>
    <t>The university froze tuition rates this year to avoid burdening students</t>
  </si>
  <si>
    <t>Many students at the liberal arts college take courses in philosophy, literature, and history.</t>
  </si>
  <si>
    <t>Philosophy, literature, and history are commonly chosen fields among students at the liberal arts college.</t>
  </si>
  <si>
    <t>Students are allowed to use the library 24 hours a day during final exams.</t>
  </si>
  <si>
    <t>The library closes at midnight every day</t>
  </si>
  <si>
    <t>Freshman orientation at Ridgeview College includes workshops on mental health, time management, and diversity training.</t>
  </si>
  <si>
    <t>The orientation for new students at Ridgeview College consists of outdoor games and sports competitions</t>
  </si>
  <si>
    <t>Professor Sharma, who has taught thermodynamics for over twenty years, received a national teaching award last semester.</t>
  </si>
  <si>
    <t>A tenured professor at the university was honored for outstanding contributions to engineering education last semester</t>
  </si>
  <si>
    <t>The student body president stated that the new parking policy would disproportionately impact commuter students.</t>
  </si>
  <si>
    <t>The student body president argued that the parking changes would primarily benefit students who live on campus</t>
  </si>
  <si>
    <t>All undergraduate students are required to complete at least one internship before graduation.</t>
  </si>
  <si>
    <t>Some undergraduate students at the college graduate without having completed an internship</t>
  </si>
  <si>
    <t>The biology department moved its research labs to the newly constructed science building.</t>
  </si>
  <si>
    <t>The biology department conducts all of its research in the basement of the old lab facility</t>
  </si>
  <si>
    <t>The college’s debate team won the regional championship for the third consecutive year.</t>
  </si>
  <si>
    <t>The debate team has never advanced past the semifinals in the regional championship</t>
  </si>
  <si>
    <t>During spring semester, enrollment in environmental science courses tends to increase.</t>
  </si>
  <si>
    <t>Environmental science classes are typically more popular in the fall than in the spring</t>
  </si>
  <si>
    <t>Students majoring in mechanical engineering must complete a senior design project.</t>
  </si>
  <si>
    <t>Completing a capstone project is mandatory for mechanical engineering majors at the college</t>
  </si>
  <si>
    <t>Although tuition at Elmsfield College is relatively high, many students receive substantial financial aid.</t>
  </si>
  <si>
    <t>Elmsfield College is known for being affordable even without financial aid</t>
  </si>
  <si>
    <t>The campus bookstore began selling electronic textbooks alongside printed copies starting in 2023.</t>
  </si>
  <si>
    <t>The bookstore introduced electronic textbooks in 2020 as part of a digital learning initiative</t>
  </si>
  <si>
    <t>No more than two students can share a single dormitory room at Westmore University.</t>
  </si>
  <si>
    <t>Some dorm rooms at Westmore University house three or more students</t>
  </si>
  <si>
    <t>The college’s new policy prohibits faculty from accepting gifts from students.</t>
  </si>
  <si>
    <t>Faculty members are allowed to accept small, non-monetary gifts from students as tokens of appreciation</t>
  </si>
  <si>
    <t>The astronomy department hosts public telescope nights once a month to engage with the community.</t>
  </si>
  <si>
    <t>The astronomy department holds monthly open houses where visitors can use the telescopes</t>
  </si>
  <si>
    <t>Every senior in the music program must perform a solo recital before graduation.</t>
  </si>
  <si>
    <t>Graduating seniors in the music program are required to give an individual performance</t>
  </si>
  <si>
    <t>The college offers online courses for working professionals who cannot attend classes on campus.</t>
  </si>
  <si>
    <t>Some online students are full-time professionals looking to advance their careers</t>
  </si>
  <si>
    <t>The student health center provides free flu shots to all enrolled students during the fall semester.</t>
  </si>
  <si>
    <t>Only students with university health insurance are eligible for free flu shots at the clinic</t>
  </si>
  <si>
    <t>There is a high likelihood that the guest lecture on climate policy will be rescheduled due to the professor's travel delay.</t>
  </si>
  <si>
    <t>The guest lecture on climate policy is confirmed and will take place as originally scheduled</t>
  </si>
  <si>
    <t>The college cafeteria recently switched to biodegradable utensils to reduce plastic waste.</t>
  </si>
  <si>
    <t>The cafeteria continues to use single-use plastic utensils despite environmental concerns</t>
  </si>
  <si>
    <t>All students enrolled in the honors program must maintain a GPA of 3.5 or higher.</t>
  </si>
  <si>
    <t>A GPA of 3.2 is sufficient for students to remain in the honors program</t>
  </si>
  <si>
    <t>The university’s theater department performs four major productions each academic year.</t>
  </si>
  <si>
    <t>The theater department only stages one or two performances annually</t>
  </si>
  <si>
    <t>Students who major in economics typically take calculus in their first year.</t>
  </si>
  <si>
    <t>Calculus is commonly part of the first-year course load for economics majors</t>
  </si>
  <si>
    <t>The international student office hosts a weekly language exchange to help students practice speaking English and other languages.</t>
  </si>
  <si>
    <t>Every Thursday, the college offers a language meetup to support multilingual conversation among students</t>
  </si>
  <si>
    <t>Campus Wi-Fi was expanded to cover outdoor study areas after student requests for better connectivity.</t>
  </si>
  <si>
    <t>Students are still unable to access Wi-Fi in outdoor common spaces on campus</t>
  </si>
  <si>
    <t>The college requires that all undergraduates complete two semesters of physical education.</t>
  </si>
  <si>
    <t>There is no physical education requirement for undergraduate students at the college</t>
  </si>
  <si>
    <t>After the renovation, the engineering building includes new computer labs and a robotics testing facility.</t>
  </si>
  <si>
    <t>The engineering building lacks modern computer labs and space for robotics experimentation</t>
  </si>
  <si>
    <t>Graduates from the nursing program often find employment within six months after earning their degree.</t>
  </si>
  <si>
    <t>Many nursing graduates from the college struggle to find jobs for over a year</t>
  </si>
  <si>
    <t>A student can only be enrolled in one major at a time in the humanities department.</t>
  </si>
  <si>
    <t>Some students in the humanities department are double majors</t>
  </si>
  <si>
    <t>The business school introduced a new course on ethical leadership that fulfills a core requirement.</t>
  </si>
  <si>
    <t>The course on ethical leadership was added as an elective and does not count toward core credits</t>
  </si>
  <si>
    <t>The university’s career services office assists students with internships, résumé reviews, and interview prep.</t>
  </si>
  <si>
    <t>Career services help students prepare for job applications and connect with internships</t>
  </si>
  <si>
    <t>Students who participate in study abroad programs must attend three pre-departure workshops.</t>
  </si>
  <si>
    <t>No workshops are required for students participating in international exchange programs</t>
  </si>
  <si>
    <t>The faculty senate voted to extend the reading period before final exams from three to five days.</t>
  </si>
  <si>
    <t>The reading period remains unchanged at three days before finals</t>
  </si>
  <si>
    <t>The art department requires a portfolio submission as part of the undergraduate application.</t>
  </si>
  <si>
    <t>Applicants to the art department must submit samples of their work as part of the admission process</t>
  </si>
  <si>
    <t>It is common for students at Riverbend College to participate in both intramural sports and academic clubs.</t>
  </si>
  <si>
    <t>Most students at Riverbend College avoid extracurriculars and focus solely on academics</t>
  </si>
  <si>
    <t>The college library has over 1.5 million volumes and offers access to thousands of online journals.</t>
  </si>
  <si>
    <t>The library is home to a large physical and digital collection of academic resources</t>
  </si>
  <si>
    <t>Final exams are typically scheduled during the second and third weeks of December.</t>
  </si>
  <si>
    <t>At this university, final exams are usually held during the last week of November</t>
  </si>
  <si>
    <t>The university relocated its admissions office to the new administrative center next to the student union.</t>
  </si>
  <si>
    <t>The admissions office remains in its original location across from the registrar’s building</t>
  </si>
  <si>
    <t>The campus wellness center offers free counseling sessions to all full-time students.</t>
  </si>
  <si>
    <t>The counseling services are available only to students who purchase the university health plan</t>
  </si>
  <si>
    <t>Most faculty members in the political science department hold doctorates from top-tier institutions.</t>
  </si>
  <si>
    <t>Many political science professors at the college have only master’s degrees</t>
  </si>
  <si>
    <t>The new dormitories were constructed with solar panels and energy-efficient windows.</t>
  </si>
  <si>
    <t>The newly built dorms rely on traditional energy sources and lack green design features</t>
  </si>
  <si>
    <t>The university’s code of conduct prohibits any form of academic dishonesty, including plagiarism.</t>
  </si>
  <si>
    <t>Plagiarism is considered a serious violation under the college’s student conduct policy</t>
  </si>
  <si>
    <t>A campus-wide survey revealed that the majority of students favor transitioning to a test-optional admissions policy.</t>
  </si>
  <si>
    <t>Survey results showed widespread opposition among students to removing standardized test requirements</t>
  </si>
  <si>
    <t>All psychology majors are required to take both statistics and research methods before their junior year.</t>
  </si>
  <si>
    <t>Psychology majors can choose between taking statistics or research methods in their third year</t>
  </si>
  <si>
    <t>The college chapel, built in 1894, is one of the oldest buildings still in use on campus.</t>
  </si>
  <si>
    <t>The chapel is a relatively recent addition to campus, completed in the mid-20th century.</t>
  </si>
  <si>
    <t>Every student must complete a minimum of 120 credit hours to graduate.</t>
  </si>
  <si>
    <t>Graduation requires fewer than 100 credit hours at this college</t>
  </si>
  <si>
    <t>The chemistry department requires students to wear lab coats and goggles during all experiments.</t>
  </si>
  <si>
    <t>Protective lab gear is mandatory for chemistry students during lab sessions</t>
  </si>
  <si>
    <t>The annual cultural festival features international cuisine, music performances, and dance exhibitions.</t>
  </si>
  <si>
    <t>The cultural festival includes food, music, and dance from various global traditions</t>
  </si>
  <si>
    <t>The college recently launched a mentorship program pairing undergraduates with alumni working in relevant fields.</t>
  </si>
  <si>
    <t>A new program now connects students with alumni mentors in their areas of interest</t>
  </si>
  <si>
    <t>Many evening classes are offered to accommodate students who work during the day.</t>
  </si>
  <si>
    <t>Most evening courses were eliminated due to low enrollment</t>
  </si>
  <si>
    <t>The registrar's office is located directly across from the main library on the east side of campus.</t>
  </si>
  <si>
    <t>The registrar’s office is housed in a building near the science quad on the north end of campus</t>
  </si>
  <si>
    <t>The campus newspaper is entirely student-run, with editorial decisions made independently from faculty.</t>
  </si>
  <si>
    <t>Faculty members serve as editors and regularly oversee content decisions in the student paper</t>
  </si>
  <si>
    <t>Freshmen are not permitted to register for upper-division courses without special approval.</t>
  </si>
  <si>
    <t>First-year students are automatically enrolled in upper-division courses</t>
  </si>
  <si>
    <t>The business analytics program at the college emphasizes data visualization and predictive modeling.</t>
  </si>
  <si>
    <t>The business analytics curriculum focuses primarily on financial accounting and business law</t>
  </si>
  <si>
    <t>The school’s academic calendar is divided into two 16-week semesters.</t>
  </si>
  <si>
    <t>The academic year consists of three 10-week terms</t>
  </si>
  <si>
    <t>All incoming students are expected to complete an online orientation before the semester begins.</t>
  </si>
  <si>
    <t>Participation in the orientation is optional for new students</t>
  </si>
  <si>
    <t>Students living in campus housing are automatically enrolled in a meal plan.</t>
  </si>
  <si>
    <t>The meal plan is optional even for students living in dormitories</t>
  </si>
  <si>
    <t>The college’s public speaking course teaches techniques for persuasive, informative, and impromptu speaking.</t>
  </si>
  <si>
    <t>Students in the public speaking class learn to deliver persuasive, informative, and impromptu speeches</t>
  </si>
  <si>
    <t>The university banned the use of electric scooters on campus after several accidents.</t>
  </si>
  <si>
    <t>Students are still allowed to ride electric scooters freely across campus</t>
  </si>
  <si>
    <t>Students in the journalism program must complete two semesters of newsroom practicum.</t>
  </si>
  <si>
    <t>There is no practicum requirement for journalism majors</t>
  </si>
  <si>
    <t>The chemistry department does not allow food or drinks in any of its laboratories.</t>
  </si>
  <si>
    <t>Students are encouraged to bring snacks into the chemistry labs for long experiments</t>
  </si>
  <si>
    <t>The study abroad program requires applicants to have completed at least 60 credit hours.</t>
  </si>
  <si>
    <t>Students with fewer than 60 credits are not eligible to apply for the study abroad program</t>
  </si>
  <si>
    <t>All business majors must take courses in accounting, finance, and marketing.</t>
  </si>
  <si>
    <t>Accounting, finance, and marketing are mandatory subjects for students pursuing a business degree.</t>
  </si>
  <si>
    <t>The university’s career fair hosts over 100 companies, including many from the tech and finance sectors.</t>
  </si>
  <si>
    <t>Many companies from technology and finance attend the university’s large-scale career fair</t>
  </si>
  <si>
    <t>Students in the honors college often pursue double majors in science and the humanities.</t>
  </si>
  <si>
    <t>Some honors students combine science and humanities in their academic paths</t>
  </si>
  <si>
    <t>The university recently partnered with local farms to provide fresh produce in the dining halls.</t>
  </si>
  <si>
    <t>Campus dining still sources most of its food from national distributors</t>
  </si>
  <si>
    <t>The college radio station broadcasts 24/7 with student-run programming and interviews.</t>
  </si>
  <si>
    <t>The college radio station offers a mix of music and spoken word, but it's unclear how often it's active</t>
  </si>
  <si>
    <t>Students frequently study in the campus greenhouse during cold weather because it remains warm and quiet.</t>
  </si>
  <si>
    <t>The greenhouse is also used as a space for hosting yoga classes and occasional poetry readings</t>
  </si>
  <si>
    <t>An engineering professor developed a low-cost water filtration system for use in rural areas.</t>
  </si>
  <si>
    <t>The university recognized a chemistry professor for innovations in water purification</t>
  </si>
  <si>
    <t>Many students choose to live off campus after their sophomore year to save money.</t>
  </si>
  <si>
    <t>Some students move off campus for more independence, not necessarily to reduce expenses.</t>
  </si>
  <si>
    <t>The student-run café in the library closes at 10 p.m. every night.</t>
  </si>
  <si>
    <t>The café in the library stays open until midnight daily</t>
  </si>
  <si>
    <t>Scholarships are awarded only to students who demonstrate financial need.</t>
  </si>
  <si>
    <t>Students with high GPAs can receive scholarships regardless of their financial background</t>
  </si>
  <si>
    <t>The university gym is closed on Sundays for maintenance and deep cleaning.</t>
  </si>
  <si>
    <t>The gym is open every day of the week including Sundays</t>
  </si>
  <si>
    <t>The university eliminated all Saturday classes to give students more personal time.</t>
  </si>
  <si>
    <t>Several academic departments still schedule courses on Saturdays</t>
  </si>
  <si>
    <t>Only students with senior standing are permitted to enroll in the capstone seminar.</t>
  </si>
  <si>
    <t>Juniors are allowed to take the capstone seminar if they meet the prerequisites</t>
  </si>
  <si>
    <t>The college implemented a mandatory sustainability course for all first-year students.</t>
  </si>
  <si>
    <t>First-year students can choose whether or not to take the sustainability course</t>
  </si>
  <si>
    <t>The student government election takes place every April, with campaigning beginning in March.</t>
  </si>
  <si>
    <t>Elections for student leadership are held in September after two weeks of campaigning</t>
  </si>
  <si>
    <t>The school’s definition of plagiarism includes unauthorized collaboration on individual assignments.</t>
  </si>
  <si>
    <t>Plagiarism, according to school policy, refers only to copying written content without citation.</t>
  </si>
  <si>
    <t>There is no realistic chance that the outdoor concert will proceed given the current thunderstorm warning.</t>
  </si>
  <si>
    <t>Despite the forecast, the concert is still expected to be held as planned.</t>
  </si>
  <si>
    <t>Students in the pre-med track are expected to take organic chemistry and anatomy by their second year.</t>
  </si>
  <si>
    <t>Organic chemistry and anatomy are required for pre-med students before the end of sophomore year</t>
  </si>
  <si>
    <t>The college’s graduate program in education requires a thesis or a comprehensive final exam.</t>
  </si>
  <si>
    <t>To graduate, education students must complete either a thesis or take a comprehensive exam</t>
  </si>
  <si>
    <t>All dormitory residents are required to attend at least one fire safety training session per semester.</t>
  </si>
  <si>
    <t>Every student who lives on campus must participate in a fire safety session during the term</t>
  </si>
  <si>
    <t>The psychology department provides students with opportunities to participate in faculty-led research.</t>
  </si>
  <si>
    <t>Psychology students are offered chances to work on academic studies under faculty supervision</t>
  </si>
  <si>
    <t>A valid student ID is necessary to check out books from the campus library.</t>
  </si>
  <si>
    <t>Without a student ID, books cannot be borrowed from the library</t>
  </si>
  <si>
    <t>The college’s writing center assists students with grammar, organization, and thesis development.</t>
  </si>
  <si>
    <t>Students can get help at the writing center with various aspects of writing, including structure and argumentation.</t>
  </si>
  <si>
    <t>Some students live off campus to be closer to part-time job locations in the city.</t>
  </si>
  <si>
    <t>Several students choose off-campus housing because they enjoy having their own kitchens and more space</t>
  </si>
  <si>
    <t>The economics department held a panel discussion on global inflation trends last semester.</t>
  </si>
  <si>
    <t>The political science department organized a forum on international trade agreements last term</t>
  </si>
  <si>
    <t>The university recently introduced a new minor in environmental justice.</t>
  </si>
  <si>
    <t>A different university added a certificate program in climate ethics last year</t>
  </si>
  <si>
    <t>The student newspaper recently published an article about rising textbook prices.</t>
  </si>
  <si>
    <t>The college’s finance club hosted a debate on the cost of higher education</t>
  </si>
  <si>
    <t>The new dining plan includes unlimited access to three main dining halls.</t>
  </si>
  <si>
    <t>The updated meal system allows students to use a declining balance to pay per item at campus cafés</t>
  </si>
  <si>
    <t>The history department hired a visiting scholar who specializes in medieval European warfare.</t>
  </si>
  <si>
    <t>The English department welcomed a poet-in-residence with a focus on postmodern literature</t>
  </si>
  <si>
    <t>The university prohibits the use of personal laptops during final exams.</t>
  </si>
  <si>
    <t>Students are encouraged to bring their own laptops for use during final exams</t>
  </si>
  <si>
    <t>All chemistry majors must complete a lab safety certification before enrolling in any lab courses.</t>
  </si>
  <si>
    <t>Lab safety certification is optional for chemistry majors</t>
  </si>
  <si>
    <t>The college bookstore opens at 7:30 a.m. every weekday to accommodate early classes.</t>
  </si>
  <si>
    <t>The bookstore doesn’t open until 9:00 a.m. on weekdays</t>
  </si>
  <si>
    <t>The university gym is located next to the student center on the west side of campus.</t>
  </si>
  <si>
    <t>The gym is on the opposite side of campus from the student center</t>
  </si>
  <si>
    <t>Students are not allowed to take more than 18 credit hours in a semester without special permission.</t>
  </si>
  <si>
    <t>All students are free to take as many credits as they like each term</t>
  </si>
  <si>
    <t>There’s little chance that the university will cancel classes due to light snowfall.</t>
  </si>
  <si>
    <t>Classes are likely to be canceled because of the light snow forecast</t>
  </si>
  <si>
    <t>All first-year students are required to attend an academic advising session during orientation.</t>
  </si>
  <si>
    <t>New students must meet with an academic advisor before starting classes</t>
  </si>
  <si>
    <t>The biology lab course includes both in-person dissections and virtual simulation modules.</t>
  </si>
  <si>
    <t>Students in the biology lab perform dissections and also work with digital tools</t>
  </si>
  <si>
    <t>The scholarship application asks students to submit transcripts, essays, and recommendation letters.</t>
  </si>
  <si>
    <t>Applicants must provide academic records, personal statements, and letters of support.</t>
  </si>
  <si>
    <t>Graduates of the college’s film program often go on to work in editing, directing, or cinematography.</t>
  </si>
  <si>
    <t>Film program alumni frequently find careers in directing, editing, or camera work.</t>
  </si>
  <si>
    <t>The university provides language tutors for students enrolled in Spanish, French, and Mandarin.</t>
  </si>
  <si>
    <t>Tutoring is available for students taking Mandarin, French, or Spanish courses.</t>
  </si>
  <si>
    <t>Students in the architecture program are required to build physical models for their final projects.</t>
  </si>
  <si>
    <t>The architecture curriculum includes hands-on model construction in the final year</t>
  </si>
  <si>
    <t>The college art museum hosted a retrospective on modern sculpture last semester.</t>
  </si>
  <si>
    <t>The campus science center unveiled a new planetarium exhibit over winter break</t>
  </si>
  <si>
    <t>An engineering professor received a grant to study earthquake-resistant building materials.</t>
  </si>
  <si>
    <t>A sociology professor was awarded funding to research urban homelessness</t>
  </si>
  <si>
    <t>The university announced plans to open a new wellness center in the next academic year.</t>
  </si>
  <si>
    <t>The university also expanded mental health services on campus last semester</t>
  </si>
  <si>
    <t>Some students prefer to study in the main library, while others use quiet lounges in residence halls.</t>
  </si>
  <si>
    <t>Many students choose to study in off-campus cafés for a change of environment</t>
  </si>
  <si>
    <t>The student film club screened a documentary about climate change at their last meeting.</t>
  </si>
  <si>
    <t>The college orchestra performed a symphonic piece inspired by nature</t>
  </si>
  <si>
    <t>The campus tech lab recently upgraded its 3D printers for student design projects.</t>
  </si>
  <si>
    <t>The music department replaced its outdated recording equipment with new digital systems</t>
  </si>
  <si>
    <t>The remastered edition of the game was released in early 2023 with updated graphics and voice acting.</t>
  </si>
  <si>
    <t>The remastered version came out in 2021 with minimal changes.</t>
  </si>
  <si>
    <t>Players need to craft a specific potion to resist fire damage in the lava biome.</t>
  </si>
  <si>
    <t>The potion recipe for fire resistance is essential for survival in the lava biome.</t>
  </si>
  <si>
    <t>The virtual reality mode of the racing game supports up to four players.</t>
  </si>
  <si>
    <t>The multiplayer feature of the racing game can handle up to eight players.</t>
  </si>
  <si>
    <t>Despite the game's critical acclaim, many users criticized its lack of meaningful side quests.</t>
  </si>
  <si>
    <t>The game was widely praised for its engaging and diverse side quests.</t>
  </si>
  <si>
    <t>The main protagonist uses a grappling hook to traverse high ledges and buildings.</t>
  </si>
  <si>
    <t>The main character uses a jetpack to fly over buildings and obstacles.</t>
  </si>
  <si>
    <t>Streaming the game at maximum settings requires a high-end graphics card and at least 16GB of RAM.</t>
  </si>
  <si>
    <t>Running the game at ultra quality on older hardware results in significant lag.</t>
  </si>
  <si>
    <t>While the first-person shooter emphasizes realism and military tactics, the sequel adopts a more arcade-style approach.</t>
  </si>
  <si>
    <t>The sequel to the tactical shooter maintains the same focus on realism as its predecessor.</t>
  </si>
  <si>
    <t>The final boss appears only after completing all three elemental trials.</t>
  </si>
  <si>
    <t>You can face the final boss immediately after unlocking the main gate.</t>
  </si>
  <si>
    <t>The city in the game features a subway system that players can use to fast-travel between districts.</t>
  </si>
  <si>
    <t>The game includes no means of fast travel, requiring players to walk or drive everywhere.</t>
  </si>
  <si>
    <t>The developers announced a new expansion that will introduce cooperative underwater missions.</t>
  </si>
  <si>
    <t>The next expansion is rumored to include a new battle royale mode set on an island.</t>
  </si>
  <si>
    <t>In this tactical RPG, characters must rest between missions to regain health and energy.</t>
  </si>
  <si>
    <t>Characters in the game automatically heal after every battle.</t>
  </si>
  <si>
    <t>Competitive matches in the game last approximately 15 minutes on average.</t>
  </si>
  <si>
    <t>Most ranked matches typically extend beyond half an hour due to overtime rounds.</t>
  </si>
  <si>
    <t>The upcoming survival game was inspired by classic titles like "The Forest" and "Rust."</t>
  </si>
  <si>
    <t>The lead developer cited action RPGs such as "Dark Souls" as the main inspiration for the new game.</t>
  </si>
  <si>
    <t>The open-world adventure includes dynamic weather systems that influence enemy behavior.</t>
  </si>
  <si>
    <t>Rainstorms in the game can cause enemies to become more aggressive.</t>
  </si>
  <si>
    <t>The game's story unfolds across four seasons, with each chapter representing a different time of year.</t>
  </si>
  <si>
    <t>The narrative is structured non-linearly and shifts unpredictably between past and future.</t>
  </si>
  <si>
    <t>An in-game encyclopedia provides detailed lore entries for every species encountered.</t>
  </si>
  <si>
    <t>The game includes no formal documentation or lore, leaving players to interpret the world themselves.</t>
  </si>
  <si>
    <t>In the latest patch, players reported a glitch where NPCs would float above the ground in crowded cities.</t>
  </si>
  <si>
    <t>The floating NPC bug seems to only occur in remote, unpopulated wilderness areas.</t>
  </si>
  <si>
    <t>Many fans believe the game's voice acting is among the best in the industry.</t>
  </si>
  <si>
    <t>Some reviewers argued the voice acting was flat and lacked emotional range.</t>
  </si>
  <si>
    <t>The first expansion pack added a new playable race and over 30 hours of additional story content.</t>
  </si>
  <si>
    <t>The downloadable content for the game consisted only of new cosmetic skins and emotes.</t>
  </si>
  <si>
    <t>Players can only join guilds after reaching level 20 in the game.</t>
  </si>
  <si>
    <t>Guild membership becomes available once players hit level 15.</t>
  </si>
  <si>
    <t>Although the studio is small, it has consistently delivered high-quality indie games.</t>
  </si>
  <si>
    <t>Despite having a large development team, the company primarily produces mobile puzzle games.</t>
  </si>
  <si>
    <t>The stealth system allows players to silently eliminate enemies and hide their bodies in containers.</t>
  </si>
  <si>
    <t>Players can choose between stealth and aggressive combat styles throughout the game.</t>
  </si>
  <si>
    <t>The game director mentioned in an interview that the next installment might include cross-platform multiplayer.</t>
  </si>
  <si>
    <t>Cross-platform features have already been confirmed for the next installment.</t>
  </si>
  <si>
    <t>The rhythm-based combat system rewards players for timing their attacks to the music.</t>
  </si>
  <si>
    <t>The game punishes players who mistime attacks by reducing their damage output.</t>
  </si>
  <si>
    <t>The modding community has added thousands of custom maps and new weapons to the game.</t>
  </si>
  <si>
    <t>Official updates rarely include new maps or gear, prompting players to rely on mods.</t>
  </si>
  <si>
    <t>The game offers a dynamic weather system that alters gameplay conditions.</t>
  </si>
  <si>
    <t>The game features a fixed environment with no weather effects.</t>
  </si>
  <si>
    <t>Players must gather at least five crystals to unlock the portal to the next region.</t>
  </si>
  <si>
    <t>Collecting three crystals is sufficient to activate the portal.</t>
  </si>
  <si>
    <t>The multiplayer servers shut down permanently in 2022.</t>
  </si>
  <si>
    <t>Multiplayer functionality was expanded with new features in 2023.</t>
  </si>
  <si>
    <t>Using the sniper rifle requires a steady aim and careful planning.</t>
  </si>
  <si>
    <t>The sniper rifle in the game is designed for rapid, close-quarters combat.</t>
  </si>
  <si>
    <t>You can only equip one active ability at a time during combat.</t>
  </si>
  <si>
    <t>Players are allowed to use multiple active abilities simultaneously.</t>
  </si>
  <si>
    <t>Completing the main questline is necessary to access the final area.</t>
  </si>
  <si>
    <t>The final area can be entered even without finishing the main quest.</t>
  </si>
  <si>
    <t>The downloadable content introduces a new jungle region to the south.</t>
  </si>
  <si>
    <t>The DLC adds a frozen tundra region to the northern edge of the map.</t>
  </si>
  <si>
    <t>The lead developer claimed the studio would never adopt a battle pass model.</t>
  </si>
  <si>
    <t>The game’s latest update introduced a seasonal battle pass system.</t>
  </si>
  <si>
    <t>Critics hailed the new installment as a masterpiece of open-world design.</t>
  </si>
  <si>
    <t>Many reviewers considered the open-world mechanics poorly executed.</t>
  </si>
  <si>
    <t>The lead designer hinted that underwater vehicles may be added in a future update.</t>
  </si>
  <si>
    <t>Underwater vehicles are confirmed to be excluded from all future content.</t>
  </si>
  <si>
    <t>Defeating the dungeon boss awards players with a rare elemental weapon.</t>
  </si>
  <si>
    <t>The final boss drops a powerful sword imbued with fire magic.</t>
  </si>
  <si>
    <t>The first expansion adds over 20 hours of new story missions and side content.</t>
  </si>
  <si>
    <t>The downloadable content introduces a substantial amount of new gameplay.</t>
  </si>
  <si>
    <t>The game encourages stealth gameplay, offering bonuses for undetected kills.</t>
  </si>
  <si>
    <t>Players are rewarded for completing missions without being seen.</t>
  </si>
  <si>
    <t>The in-game economy revolves around collecting rare minerals and crafting equipment.</t>
  </si>
  <si>
    <t>Players must gather minerals to craft essential tools and armor.</t>
  </si>
  <si>
    <t>During raids, teamwork and communication are critical for success.</t>
  </si>
  <si>
    <t>Successful raid completion depends heavily on coordinated group strategy.</t>
  </si>
  <si>
    <t>The in-game journal logs all completed quests and their outcomes.</t>
  </si>
  <si>
    <t>Players can review past quests and their resolutions through the journal.</t>
  </si>
  <si>
    <t>Mounts allow for faster travel across the expansive terrain.</t>
  </si>
  <si>
    <t>Riding a mount significantly reduces travel time across the map.</t>
  </si>
  <si>
    <t>Newcomers are guided through the opening hours by a detailed tutorial system.</t>
  </si>
  <si>
    <t>The game begins with an interactive tutorial designed for new players.</t>
  </si>
  <si>
    <t>The character’s elemental affinity influences which magic spells they can learn.</t>
  </si>
  <si>
    <t>Spell selection is determined by the character’s elemental type.</t>
  </si>
  <si>
    <t>The advanced difficulty mode introduces more aggressive AI behaviors and limited resources.</t>
  </si>
  <si>
    <t>Hard mode increases challenge by enhancing enemy aggression and reducing supplies.</t>
  </si>
  <si>
    <t>The game’s soundtrack was composed by an award-winning orchestra.</t>
  </si>
  <si>
    <t>The game's sound design was handled by a well-known audio studio.</t>
  </si>
  <si>
    <t>Players can build and decorate their own homes in the countryside.</t>
  </si>
  <si>
    <t>The farming simulator includes a home customization system.</t>
  </si>
  <si>
    <t>The developer is known for producing narrative-driven puzzle games.</t>
  </si>
  <si>
    <t>The studio's portfolio primarily features atmospheric adventure titles.</t>
  </si>
  <si>
    <t>The storyline involves a group of explorers uncovering secrets in an ancient city.</t>
  </si>
  <si>
    <t>The plot centers on a lone survivor navigating a futuristic colony.</t>
  </si>
  <si>
    <t>One popular streamer completed the entire campaign using only melee weapons.</t>
  </si>
  <si>
    <t>Most players prefer to mix ranged and melee attacks throughout the game.</t>
  </si>
  <si>
    <t>The game includes both single-player and cooperative multiplayer modes.</t>
  </si>
  <si>
    <t>Players can choose between playing solo or teaming up with friends.</t>
  </si>
  <si>
    <t>The mobile version of the game launched with limited features and missing content.</t>
  </si>
  <si>
    <t>The console release was praised for being fully complete and polished.</t>
  </si>
  <si>
    <t>Players report inconsistent frame rates on certain older graphics cards.</t>
  </si>
  <si>
    <t>The developers promised optimized performance across all supported devices.</t>
  </si>
  <si>
    <t>The sandbox mode allows for total freedom without objectives or limitations.</t>
  </si>
  <si>
    <t>Campaign mode restricts player freedom in favor of a structured narrative.</t>
  </si>
  <si>
    <t>The final boss only appears during a blood moon event that occurs once every seven in-game days.</t>
  </si>
  <si>
    <t>The final boss can spawn randomly on any night regardless of lunar phase.</t>
  </si>
  <si>
    <t>Players cannot use magic until they unlock the Arcane Tome at level 10.</t>
  </si>
  <si>
    <t>Spellcasting becomes available immediately upon character creation.</t>
  </si>
  <si>
    <t>The game’s fast travel system relies on activating ancient waystones scattered throughout the world.</t>
  </si>
  <si>
    <t>There is no fast travel feature; players must manually traverse the entire map.</t>
  </si>
  <si>
    <t>Enemies respawn every five minutes in high-level zones to maintain challenge.</t>
  </si>
  <si>
    <t>Monsters in high-level areas take at least 15 minutes to respawn.</t>
  </si>
  <si>
    <t>The story campaign is divided into eight distinct chapters, each set in a different biome.</t>
  </si>
  <si>
    <t>All campaign missions occur within a single megacity environment.</t>
  </si>
  <si>
    <t>The dev team confirmed no loot boxes or randomized rewards will be included.</t>
  </si>
  <si>
    <t>Loot boxes were introduced in the latest patch, sparking community backlash.</t>
  </si>
  <si>
    <t>Most reviewers praised the game’s character animations as fluid and lifelike.</t>
  </si>
  <si>
    <t>Critics described the character animations as clunky and outdated.</t>
  </si>
  <si>
    <t>The new raid boss is rumored to have a weakness to ice-based attacks.</t>
  </si>
  <si>
    <t>The developers explicitly stated the raid boss is immune to elemental damage.</t>
  </si>
  <si>
    <t>All daily quests reset at midnight server time and must be completed within 24 hours.</t>
  </si>
  <si>
    <t>Daily quests refresh at noon and are available for only 12 hours.</t>
  </si>
  <si>
    <t>The ranger class specializes in ranged weapons and stealth tactics.</t>
  </si>
  <si>
    <t>The ranger excels at close-quarters melee combat.</t>
  </si>
  <si>
    <t>Defeating the arena champion rewards players with legendary-tier armor.</t>
  </si>
  <si>
    <t>The arena boss drops rare equipment only if specific conditions are met.</t>
  </si>
  <si>
    <t>The open-world design allows players to choose how and when they complete main objectives.</t>
  </si>
  <si>
    <t>Mission structure in the game offers flexible paths and completion orders.</t>
  </si>
  <si>
    <t>The crafting system requires blueprints that must be found during exploration.</t>
  </si>
  <si>
    <t>Crafting in the game is based on collecting recipes from discovered blueprints.</t>
  </si>
  <si>
    <t>Damage scaling is adjusted depending on the player’s level and chosen difficulty mode.</t>
  </si>
  <si>
    <t>Player level and difficulty setting influence how much damage is dealt and received.</t>
  </si>
  <si>
    <t>The game’s narrative explores themes of loss, redemption, and sacrifice.</t>
  </si>
  <si>
    <t>The plot revolves around characters coping with grief and seeking forgiveness.</t>
  </si>
  <si>
    <t>Completing achievements grants cosmetic rewards like outfits and emotes.</t>
  </si>
  <si>
    <t>Players unlock vanity items after finishing specific challenges.</t>
  </si>
  <si>
    <t>Each playable faction has a unique economy, politics, and combat style.</t>
  </si>
  <si>
    <t>Factions differ in how they manage resources and engage in battles.</t>
  </si>
  <si>
    <t>New players begin in a starter zone with limited threats and helpful tutorials.</t>
  </si>
  <si>
    <t>The opening area introduces the game’s systems in a low-risk environment.</t>
  </si>
  <si>
    <t>The reputation system influences merchant prices and quest availability.</t>
  </si>
  <si>
    <t>Merchant behavior and quest options change based on player reputation.</t>
  </si>
  <si>
    <t>Advanced weapon modifications unlock once a player reaches engineering skill level 5.</t>
  </si>
  <si>
    <t>Players can access high-tier weapon mods after investing in engineering.</t>
  </si>
  <si>
    <t>The current version supports both keyboard/mouse and controller input equally well.</t>
  </si>
  <si>
    <t>The game runs smoothly whether using a gamepad or traditional controls.</t>
  </si>
  <si>
    <t>Developers have announced upcoming DLC focusing on new underwater missions.</t>
  </si>
  <si>
    <t>The next expansion will take players to a submerged city and introduce aquatic gameplay.</t>
  </si>
  <si>
    <t>Several major bugs were patched in the recent hotfix, but minor glitches remain.</t>
  </si>
  <si>
    <t>Despite the fixes, the game still suffers from occasional visual bugs.</t>
  </si>
  <si>
    <t>The game includes voice acting in English, Japanese, and Spanish.</t>
  </si>
  <si>
    <t>Multiple language options are available for voice and text.</t>
  </si>
  <si>
    <t>While primarily an action title, the game includes puzzle elements between combat sections.</t>
  </si>
  <si>
    <t>The game mixes different genres to enhance gameplay variety.</t>
  </si>
  <si>
    <t>The world map features dynamic wildlife, with animals reacting to time and weather.</t>
  </si>
  <si>
    <t>Weather and time influence how NPCs and creatures behave in-game.</t>
  </si>
  <si>
    <t>Many players use community-made mods to improve performance and tweak visuals.</t>
  </si>
  <si>
    <t>Modding is a popular way to enhance or customize the game experience.</t>
  </si>
  <si>
    <t>The main questline takes most players between 30 and 50 hours to complete.</t>
  </si>
  <si>
    <t>Game length varies depending on player pace and exploration.</t>
  </si>
  <si>
    <t>Players can challenge each other in ranked PvP or explore the story in co-op.</t>
  </si>
  <si>
    <t>The game supports both competitive and cooperative multiplayer modes.</t>
  </si>
  <si>
    <t>The in-game photo mode allows users to pause action and adjust the camera for dramatic shots.</t>
  </si>
  <si>
    <t>Photographers in the community use the in-game camera tools to capture unique scenes.</t>
  </si>
  <si>
    <t>The game introduces a morality system that affects character relationships.</t>
  </si>
  <si>
    <t>The studio hired a new composer to create a more cinematic soundtrack.</t>
  </si>
  <si>
    <t>In the latest patch, the developers added new armor sets for ranged fighters.</t>
  </si>
  <si>
    <t>The community forum held a vote on potential esports tournament formats.</t>
  </si>
  <si>
    <t>Players exploring the desert biome often encounter hidden oases and rare creatures.</t>
  </si>
  <si>
    <t>The game’s sound design emphasizes spatial audio for urban combat scenarios.</t>
  </si>
  <si>
    <t>The character customization system includes dozens of hair styles and facial features.</t>
  </si>
  <si>
    <t>Developers announced a roadmap that includes balance changes for competitive mode.</t>
  </si>
  <si>
    <t>While the game supports 4K resolution, some players prefer to lower settings for performance.</t>
  </si>
  <si>
    <t>The mobile companion app allows users to manage their inventory on the go.</t>
  </si>
  <si>
    <t>The fishing mini-game rewards precise timing and patience.</t>
  </si>
  <si>
    <t>Game lore reveals that the ancient kingdom fell due to internal betrayal.</t>
  </si>
  <si>
    <t>Players can adopt pets that assist in finding hidden items in the world.</t>
  </si>
  <si>
    <t>The dialogue system was overhauled to allow branching story outcomes.</t>
  </si>
  <si>
    <t>A recent player mod added a cyberpunk-themed interface and music.</t>
  </si>
  <si>
    <t>The official subreddit hosted an AMA with one of the senior quest writers.</t>
  </si>
  <si>
    <t>During late-game raids, environmental hazards become increasingly dangerous.</t>
  </si>
  <si>
    <t>The tutorial encourages exploration through small rewards and hidden passages.</t>
  </si>
  <si>
    <t>The combat system emphasizes parries and timed dodges over button mashing.</t>
  </si>
  <si>
    <t>The developers are experimenting with ray tracing for the next engine update.</t>
  </si>
  <si>
    <t>The rogue class starts with a dagger and specializes in backstab damage.</t>
  </si>
  <si>
    <t>The rogue class begins with a crossbow and excels at ranged combat.</t>
  </si>
  <si>
    <t>Players must wait 24 hours in real time before the next daily dungeon becomes available.</t>
  </si>
  <si>
    <t>Daily dungeons can be completed as many times as players want without any cooldown.</t>
  </si>
  <si>
    <t>The main storyline concludes in the capital city after the emperor’s assassination.</t>
  </si>
  <si>
    <t>The main quest ends with the emperor surviving and reclaiming the throne.</t>
  </si>
  <si>
    <t>The development team confirmed that couch co-op will not be supported.</t>
  </si>
  <si>
    <t>Split-screen multiplayer was added in the most recent update.</t>
  </si>
  <si>
    <t>The game was initially released in 2018 exclusively for consoles.</t>
  </si>
  <si>
    <t>It launched in 2020 as a PC-only title.</t>
  </si>
  <si>
    <t>All summoned creatures disappear after 60 seconds or when their health reaches zero.</t>
  </si>
  <si>
    <t>Summoned creatures remain active indefinitely unless manually dismissed.</t>
  </si>
  <si>
    <t>In PvP mode, players cannot heal during combat.</t>
  </si>
  <si>
    <t>Healing abilities are critical for sustaining yourself during PvP encounters.</t>
  </si>
  <si>
    <t>Critics praised the voice acting as emotional and authentic.</t>
  </si>
  <si>
    <t>Many reviews criticized the performances for lacking personality and depth.</t>
  </si>
  <si>
    <t>The final encounter occurs in a floating citadel above the clouds.</t>
  </si>
  <si>
    <t>The story ends with a climactic battle in an underground bunker.</t>
  </si>
  <si>
    <t>The lead developer mentioned that vehicles might be added post-launch.</t>
  </si>
  <si>
    <t>Developers stated they have no intention of implementing vehicles.</t>
  </si>
  <si>
    <t>To unlock the secret ending, players must complete every side mission.</t>
  </si>
  <si>
    <t>Completing all optional quests grants access to the game’s hidden final sequence.</t>
  </si>
  <si>
    <t>The alchemy system allows players to combine ingredients into potions with varied effects.</t>
  </si>
  <si>
    <t>Crafting potions in the game involves mixing different herbs and reagents.</t>
  </si>
  <si>
    <t>When exploring caves, players must carry torches or risk being attacked in the dark.</t>
  </si>
  <si>
    <t>Darkness in caves increases enemy aggression unless players bring a light source.</t>
  </si>
  <si>
    <t>Upgrading armor requires crafting materials that can only be found in high-level zones.</t>
  </si>
  <si>
    <t>The rare metals used to enhance gear are located in late-game areas.</t>
  </si>
  <si>
    <t>The game features a robust trading system where players can barter with NPC merchants.</t>
  </si>
  <si>
    <t>NPC vendors allow item exchanges and price negotiations through dialogue options.</t>
  </si>
  <si>
    <t>Completing puzzles in the temple unlocks doors to deeper levels of the dungeon.</t>
  </si>
  <si>
    <t>Solving environmental puzzles grants access to hidden sections of the temple.</t>
  </si>
  <si>
    <t>In survival mode, hunger and fatigue gradually reduce your character’s stats.</t>
  </si>
  <si>
    <t>Characters grow weaker in survival mode when deprived of food and rest.</t>
  </si>
  <si>
    <t>The sniper scope can be upgraded to improve zoom and stability.</t>
  </si>
  <si>
    <t>Enhancing the scope allows for better accuracy at long range.</t>
  </si>
  <si>
    <t>Fire-based enemies are vulnerable to water spells and ice traps.</t>
  </si>
  <si>
    <t>Water and ice abilities are especially effective against enemies with fire attributes.</t>
  </si>
  <si>
    <t>Each faction offers unique questlines, abilities, and gear tied to its lore.</t>
  </si>
  <si>
    <t>Joining a faction unlocks exclusive missions and specialized equipment.</t>
  </si>
  <si>
    <t>The game’s art style draws inspiration from traditional Japanese ink paintings.</t>
  </si>
  <si>
    <t>Developers collaborated with cultural historians to ensure architectural accuracy.</t>
  </si>
  <si>
    <t>The user interface was redesigned to be more accessible for colorblind players.</t>
  </si>
  <si>
    <t>The orchestral soundtrack was recorded with a 60-piece ensemble in Prague.</t>
  </si>
  <si>
    <t>A mini-game allows players to collect insects and catalog them in a virtual encyclopedia.</t>
  </si>
  <si>
    <t>The guild system includes ranking tiers based on contributions to group missions.</t>
  </si>
  <si>
    <t>Character animations were reworked to include more fluid combat transitions.</t>
  </si>
  <si>
    <t>The companion app syncs progress across multiple platforms and devices.</t>
  </si>
  <si>
    <t>The underwater zone contains no combat but focuses on exploration and puzzle-solving.</t>
  </si>
  <si>
    <t>Photo mode offers cinematic filters and lets players frame scenic landscapes.</t>
  </si>
  <si>
    <t>While the battle pass offers exclusive cosmetics, none affect gameplay balance.</t>
  </si>
  <si>
    <t>Loading screen tips now include developer trivia and fun lore facts.</t>
  </si>
  <si>
    <t>The expansion introduces a bard class focused on musical buffs and team synergy.</t>
  </si>
  <si>
    <t>Players can earn achievements by crafting legendary furniture for their homes.</t>
  </si>
  <si>
    <t>Community feedback was instrumental in reshaping the weapon balance in version 1.9.</t>
  </si>
  <si>
    <t>The in-game weather effects include snow accumulation and lightning strikes.</t>
  </si>
  <si>
    <t>A stealth mission set in a war-torn cathedral tests players’ timing and patience.</t>
  </si>
  <si>
    <t>Multiplayer arenas rotate weekly to keep PvP matches varied and fresh.</t>
  </si>
  <si>
    <t>The journal tracks both main quests and hidden objectives scattered throughout the world.</t>
  </si>
  <si>
    <t>Players reported a bug where fishing rods became invisible during specific animations.</t>
  </si>
  <si>
    <t>The open beta attracted over 500,000 players within the first three days.</t>
  </si>
  <si>
    <t>The development team hosted a Q&amp;A session about combat mechanics and difficulty scaling.</t>
  </si>
  <si>
    <t>The professor stated that a continuous function on a closed interval always attains a maximum and a minimum.</t>
  </si>
  <si>
    <t>By the extreme value theorem, continuous functions on closed intervals must reach both maximum and minimum values.</t>
  </si>
  <si>
    <t>Euler's formula connects complex exponentials and trigonometric functions through the equation e^(ix) = cos(x) + i*sin(x).</t>
  </si>
  <si>
    <t>Euler's identity is a specific case of Euler's formula when x equals pi.</t>
  </si>
  <si>
    <t>The math department recently introduced a course on combinatorial game theory.</t>
  </si>
  <si>
    <t>The university's biology department is planning a new course on genetic algorithms.</t>
  </si>
  <si>
    <t>A graduate student used Fourier analysis to decompose the vibration signals into constituent frequencies.</t>
  </si>
  <si>
    <t>The student applied group theory to classify symmetrical patterns in crystals.</t>
  </si>
  <si>
    <t>The square root of 2 is an irrational number that cannot be expressed as a ratio of integers.</t>
  </si>
  <si>
    <t>The square root of 2 is a rational number equal to 1.414.</t>
  </si>
  <si>
    <t>Despite its name, the imaginary unit i does not exist on the real number line.</t>
  </si>
  <si>
    <t>The imaginary unit i lies precisely between 1 and -1 on the real number line.</t>
  </si>
  <si>
    <t>The conjecture remains unresolved as no proof has been found in over 150 years.</t>
  </si>
  <si>
    <t>Mathematicians successfully proved the conjecture in the early 20th century.</t>
  </si>
  <si>
    <t>If a function is differentiable at a point, it must also be continuous at that point.</t>
  </si>
  <si>
    <t>Differentiability at a point implies continuity at that same point.</t>
  </si>
  <si>
    <t>A limit can exist at a point even if the function is undefined at that point.</t>
  </si>
  <si>
    <t>The existence of a limit at a point requires the function to be defined there.</t>
  </si>
  <si>
    <t>The instructor believes abstract algebra is significantly harder than real analysis.</t>
  </si>
  <si>
    <t>The instructor claims that real analysis poses greater challenges than abstract algebra.</t>
  </si>
  <si>
    <t>The sequence defined by a_n = 1/n converges to zero as n approaches infinity.</t>
  </si>
  <si>
    <t>As n becomes very large, the values of the sequence a_n = 1/n approach zero.</t>
  </si>
  <si>
    <t>The student solved the optimization problem using Lagrange multipliers and identified both global and local extrema.</t>
  </si>
  <si>
    <t>To find an optimal solution, the student plotted a graph but ignored constraints.</t>
  </si>
  <si>
    <t>There are infinitely many prime numbers, as proven by Euclid over two thousand years ago.</t>
  </si>
  <si>
    <t>Prime numbers are finite in quantity and were all discovered centuries ago.</t>
  </si>
  <si>
    <t>Multiplying two odd numbers always results in an odd product.</t>
  </si>
  <si>
    <t>The product of any two odd integers is always even.</t>
  </si>
  <si>
    <t>Because the matrix has full rank, its determinant must be non-zero.</t>
  </si>
  <si>
    <t>The matrix having full rank implies it is invertible.</t>
  </si>
  <si>
    <t>The professor canceled class because the math building lost power.</t>
  </si>
  <si>
    <t>The class was canceled due to severe weather conditions.</t>
  </si>
  <si>
    <t>Although the problem could be solved analytically, the researcher chose to simulate it numerically.</t>
  </si>
  <si>
    <t>The researcher preferred closed-form solutions over numerical simulations.</t>
  </si>
  <si>
    <t>Two lines in the same plane that are not parallel must intersect at exactly one point.</t>
  </si>
  <si>
    <t>Skew lines are an example of non-intersecting lines in the same plane.</t>
  </si>
  <si>
    <t>The probability of randomly selecting a prime number from the first 100 positive integers is less than 30%.</t>
  </si>
  <si>
    <t>It is almost certain that a randomly chosen number from 1 to 100 is prime.</t>
  </si>
  <si>
    <t>A system of linear equations can have exactly one solution, infinitely many solutions, or no solution at all.</t>
  </si>
  <si>
    <t>Linear systems always have exactly one solution.</t>
  </si>
  <si>
    <t>A continuous function may fail to be differentiable at certain points.</t>
  </si>
  <si>
    <t>Functions that are continuous at a point are not necessarily differentiable there.</t>
  </si>
  <si>
    <t>Using modular arithmetic,the student demonstrated that 17 is congruent to 2 modulo 5.</t>
  </si>
  <si>
    <t>In modulo 5, 17 and 2 have the same remainder.</t>
  </si>
  <si>
    <t>The statistics professor assigned a project analyzing income distribution with Gini coefficients.</t>
  </si>
  <si>
    <t>The computer science department is preparing students to build mobile apps.</t>
  </si>
  <si>
    <t>Topology focuses on properties preserved under continuous deformation such as stretching and bending.</t>
  </si>
  <si>
    <t>Numerical analysis primarily deals with algorithms for solving mathematical problems numerically.</t>
  </si>
  <si>
    <t>A 3x3 identity matrix has a determinant equal to 1.</t>
  </si>
  <si>
    <t>The determinant of a 3x3 identity matrix is 0.</t>
  </si>
  <si>
    <t>The gradient of a scalar field points in the direction of the steepest ascent.</t>
  </si>
  <si>
    <t>The gradient of a scalar field indicates the flattest direction of travel.</t>
  </si>
  <si>
    <t>The professor postponed the midterm until after the fall break.</t>
  </si>
  <si>
    <t>Students were required to complete the midterm before the fall break.</t>
  </si>
  <si>
    <t>All eigenvalues of a symmetric real matrix are real numbers.</t>
  </si>
  <si>
    <t>Symmetric real matrices always have real eigenvalues.</t>
  </si>
  <si>
    <t>The probability of drawing two red cards in a row without replacement is less than 1.</t>
  </si>
  <si>
    <t>It is guaranteed that two red cards will be drawn consecutively without replacement.</t>
  </si>
  <si>
    <t>The student claimed the Riemann Hypothesis was proven last year.</t>
  </si>
  <si>
    <t>The Riemann Hypothesis remains one of the most famous unsolved problems in mathematics.</t>
  </si>
  <si>
    <t>The limit of (1 + 1/n)^n as n approaches infinity is e.</t>
  </si>
  <si>
    <t>As n gets larger, the expression (1 + 1/n)^n approaches the base of the natural logarithm.</t>
  </si>
  <si>
    <t>To study group homomorphisms the student reviewed mappings that preserve algebraic structure.</t>
  </si>
  <si>
    <t>The student explored the relationship between group theory and symmetry operations in molecules.</t>
  </si>
  <si>
    <t>A function defined as f(x) = x² has a global minimum at x = 0.</t>
  </si>
  <si>
    <t>The function f(x) = x² achieves its smallest value when x equals zero.</t>
  </si>
  <si>
    <t>The professor believes that numerical methods are superior to symbolic computation for solving integrals.</t>
  </si>
  <si>
    <t>The professor argues that symbolic approaches outperform numerical integration methods.</t>
  </si>
  <si>
    <t>A square has four right angles and all sides of equal length.</t>
  </si>
  <si>
    <t>A square is defined as a quadrilateral with unequal sides.</t>
  </si>
  <si>
    <t>The system of equations had no solutions due to contradictory constraints.</t>
  </si>
  <si>
    <t>The system had a unique solution that satisfied all constraints.</t>
  </si>
  <si>
    <t>Linear transformations preserve both vector addition and scalar multiplication.</t>
  </si>
  <si>
    <t>Every linear transformation respects the operations of vector spaces.</t>
  </si>
  <si>
    <t>The textbook focuses on both convex optimization and stochastic calculus.</t>
  </si>
  <si>
    <t>The course materials center around combinatorics and number theory.</t>
  </si>
  <si>
    <t>Because the polynomial has a double root at x = 3, its graph only touches the x-axis at that point.</t>
  </si>
  <si>
    <t>The double root at x = 3 causes the graph to intersect the x-axis twice.</t>
  </si>
  <si>
    <t>A matrix is invertible if and only if its determinant is non-zero.</t>
  </si>
  <si>
    <t>Matrices with zero determinants are always invertible.</t>
  </si>
  <si>
    <t>The integral of a continuous function over a closed interval always exists.</t>
  </si>
  <si>
    <t>If a function is continuous on a closed interval, its definite integral is guaranteed to exist.</t>
  </si>
  <si>
    <t>Any two distinct points in Euclidean space determine exactly one line.</t>
  </si>
  <si>
    <t>Given two different points in a plane, only one straight line can pass through both.</t>
  </si>
  <si>
    <t>The math department hosted a seminar on cryptographic algorithms used in blockchain.</t>
  </si>
  <si>
    <t>The history department is organizing a lecture series on the Enlightenment era.</t>
  </si>
  <si>
    <t>The geometry textbook explores hyperbolic and spherical spaces in depth.</t>
  </si>
  <si>
    <t>The statistics course emphasizes hypothesis testing and regression analysis.</t>
  </si>
  <si>
    <t>A triangle cannot have two right angles.</t>
  </si>
  <si>
    <t>A triangle can be constructed with two right angles.</t>
  </si>
  <si>
    <t>The cardinality of the set of real numbers is greater than that of the natural numbers.</t>
  </si>
  <si>
    <t>There are fewer real numbers than there are natural numbers.</t>
  </si>
  <si>
    <t>The professor postponed the exam to the following week due to scheduling conflicts.</t>
  </si>
  <si>
    <t>The exam was administered two days earlier than originally planned.</t>
  </si>
  <si>
    <t>The sum of the interior angles of a triangle in Euclidean geometry is 180 degrees.</t>
  </si>
  <si>
    <t>In flat geometry, all triangle angle sums total exactly 180 degrees.</t>
  </si>
  <si>
    <t>The student said there's a 100% chance the Monte Carlo simulation gives the exact result.</t>
  </si>
  <si>
    <t>Monte Carlo simulations rely on randomness and rarely yield exact answers.</t>
  </si>
  <si>
    <t>According to the definition of even numbers, an even number is divisible by 2.</t>
  </si>
  <si>
    <t>Even numbers are defined as those that cannot be divided evenly by 2.</t>
  </si>
  <si>
    <t>All positive integers greater than 1 are either prime or composite.</t>
  </si>
  <si>
    <t>The number 7, being greater than 1, must be either a prime or a composite number.</t>
  </si>
  <si>
    <t>The researcher applied principal component analysis to reduce data dimensionality.</t>
  </si>
  <si>
    <t>To improve visualization, the researcher used clustering algorithms on high-dimensional data.</t>
  </si>
  <si>
    <t>The Fibonacci sequence begins with 0 and 1, and each term is the sum of the previous two.</t>
  </si>
  <si>
    <t>The Fibonacci sequence starts with 0 and 2, and follows an additive rule.</t>
  </si>
  <si>
    <t>The teacher believes set theory provides a stronger foundation than category theory.</t>
  </si>
  <si>
    <t>The teacher insists that category theory is a better foundational system than set theory.</t>
  </si>
  <si>
    <t>Because the function has a removable discontinuity at x = 2, the limit exists at that point.</t>
  </si>
  <si>
    <t>The function's graph has a hole at x = 2, but the limit still exists there.</t>
  </si>
  <si>
    <t>A matrix with a row of all zeros cannot have full rank.</t>
  </si>
  <si>
    <t>A matrix with full rank must not have any row entirely composed of zeros.</t>
  </si>
  <si>
    <t>The student studied the convergence properties of the harmonic series.</t>
  </si>
  <si>
    <t>The student explored algebraic techniques to solve systems of equations.</t>
  </si>
  <si>
    <t>A system of linear equations is consistent if it has at least one solution.</t>
  </si>
  <si>
    <t>A consistent system cannot have a solution under any circumstances.</t>
  </si>
  <si>
    <t>If an event has a probability of zero, it is impossible for it to occur.</t>
  </si>
  <si>
    <t>Events with zero probability can still occur with certainty.</t>
  </si>
  <si>
    <t>The median is the middle value in a data set when the numbers are arranged in order.</t>
  </si>
  <si>
    <t>The median is defined as the arithmetic mean of a data set.</t>
  </si>
  <si>
    <t>The derivative of a constant function is always zero.</t>
  </si>
  <si>
    <t>If a function doesn’t change, then its derivative is zero everywhere.</t>
  </si>
  <si>
    <t>All positive real numbers have a unique positive square root.</t>
  </si>
  <si>
    <t>Each positive real number corresponds to exactly one non-negative square root.</t>
  </si>
  <si>
    <t>The student explored chaos theory while the professor focused on classical mechanics.</t>
  </si>
  <si>
    <t>The mathematician was primarily interested in game theory and Nash equilibria.</t>
  </si>
  <si>
    <t>The textbook includes chapters on both complex analysis and number theory.</t>
  </si>
  <si>
    <t>The workshop was dedicated entirely to advances in numerical optimization.</t>
  </si>
  <si>
    <t>The sum of two odd numbers is always even.</t>
  </si>
  <si>
    <t>Adding two odd integers results in an even number.</t>
  </si>
  <si>
    <t>An irrational number can be written as a fraction of two integers.</t>
  </si>
  <si>
    <t>Irrational numbers cannot be expressed as the ratio of two integers.</t>
  </si>
  <si>
    <t>The professor held class in the afternoon on Mondays.</t>
  </si>
  <si>
    <t>All Monday classes for that course were conducted in the early morning.</t>
  </si>
  <si>
    <t>The probability of heads when flipping a fair coin is 0.5.</t>
  </si>
  <si>
    <t>The professor insisted that probability distributions must always be symmetric.</t>
  </si>
  <si>
    <t>Some probability distributions, like the exponential distribution, are asymmetric.</t>
  </si>
  <si>
    <t>The lecture covered the basics of eigenvalues and eigenvectors.</t>
  </si>
  <si>
    <t>The lab session focused entirely on Fourier series and signal processing.</t>
  </si>
  <si>
    <t>The only even prime number is 2.</t>
  </si>
  <si>
    <t>2 is the only prime number that is also even.</t>
  </si>
  <si>
    <t>The triangle inequality states that the sum of any two sides of a triangle must exceed the third side.</t>
  </si>
  <si>
    <t>In a triangle, any side must be longer than the sum of the other two.</t>
  </si>
  <si>
    <t>The student predicted that a randomly chosen integer would be divisible by 7.</t>
  </si>
  <si>
    <t>The probability that an arbitrary integer is divisible by 7 is less than 15%.</t>
  </si>
  <si>
    <t>The research paper was delayed because the proofs were incomplete.</t>
  </si>
  <si>
    <t>The paper was published on schedule because the authors completed the proofs early.</t>
  </si>
  <si>
    <t>The professor argued that geometry is inherently visual and spatial.</t>
  </si>
  <si>
    <t>The professor claimed that geometry requires more algebraic reasoning than visual thinking.</t>
  </si>
  <si>
    <t>The determinant of a triangular matrix equals the product of its diagonal entries.</t>
  </si>
  <si>
    <t>For triangular matrices, you multiply the diagonal values to find the determinant.</t>
  </si>
  <si>
    <t>The department hired two new algebraists and a topologist this semester.</t>
  </si>
  <si>
    <t>The department added three new members with expertise in algebra and topology.</t>
  </si>
  <si>
    <t>A probability density function must always be negative or zero.</t>
  </si>
  <si>
    <t>Probability density functions are non-negative over their entire domain.</t>
  </si>
  <si>
    <t>If a function is concave down, its second derivative is negative.</t>
  </si>
  <si>
    <t>A negative second derivative implies the graph of the function is concave down.</t>
  </si>
  <si>
    <t>A function with a vertical asymptote at x = 3 must be undefined at x = 3.</t>
  </si>
  <si>
    <t>Functions with vertical asymptotes are always continuous at those points.</t>
  </si>
  <si>
    <t>The Taylor series of a function centered at a point provides a polynomial approximation near that point.</t>
  </si>
  <si>
    <t>The Taylor series expansion approximates smooth functions locally with polynomials.</t>
  </si>
  <si>
    <t>A bijective function is both injective and surjective.</t>
  </si>
  <si>
    <t>Every function that is bijective is also one-to-one and onto.</t>
  </si>
  <si>
    <t>The mathematics department is collaborating with the engineering department on a new applied math curriculum.</t>
  </si>
  <si>
    <t>The economics department is revising its game theory course to include behavioral models.</t>
  </si>
  <si>
    <t>The graduate seminar focused on algebraic topology and homotopy theory.</t>
  </si>
  <si>
    <t>The visiting lecturer presented recent findings in discrete geometry.</t>
  </si>
  <si>
    <t>The sum of the first n odd numbers is always n squared.</t>
  </si>
  <si>
    <t>For any natural number n, adding the first n odd numbers yields n².</t>
  </si>
  <si>
    <t>A convex polygon can have interior angles summing to more than 180 degrees.</t>
  </si>
  <si>
    <t>All convex polygons have interior angles summing to less than 180 degrees.</t>
  </si>
  <si>
    <t>The function was undefined at x = 0 due to a division by zero.</t>
  </si>
  <si>
    <t>The function was continuous and well-defined at x = 0.</t>
  </si>
  <si>
    <t>The Fourier transform converts a signal from the time domain to the frequency domain.</t>
  </si>
  <si>
    <t>Using the Fourier transform, we can analyze periodicity by decomposing a signal into its frequency components.</t>
  </si>
  <si>
    <t>A rational number is defined as a number that cannot be written as a fraction.</t>
  </si>
  <si>
    <t>Rational numbers are those that can be expressed as a ratio of two integers.</t>
  </si>
  <si>
    <t>The course was postponed due to a scheduling conflict with the department’s annual colloquium.</t>
  </si>
  <si>
    <t>The course started on time and was uninterrupted by departmental events.</t>
  </si>
  <si>
    <t>The binomial theorem describes the expansion of (a + b)^n for any non-negative integer n.</t>
  </si>
  <si>
    <t>The binomial expansion gives the coefficients of terms when (a + b)^n is multiplied out.</t>
  </si>
  <si>
    <t>The student focused their thesis on chaos theory and nonlinear dynamics.</t>
  </si>
  <si>
    <t>The student’s research explored elliptic curves in algebraic number theory.</t>
  </si>
  <si>
    <t>The math club president believes graph theory is more intuitive than combinatorics.</t>
  </si>
  <si>
    <t>The club president says combinatorics makes more sense than graph theory.</t>
  </si>
  <si>
    <t>Every 2×2 matrix has a unique inverse.</t>
  </si>
  <si>
    <t>A 2×2 matrix with a zero determinant has no inverse.</t>
  </si>
  <si>
    <t>The eigenvectors corresponding to distinct eigenvalues of a symmetric matrix are orthogonal.</t>
  </si>
  <si>
    <t>If a symmetric matrix has distinct eigenvalues, then its eigenvectors are orthogonal.</t>
  </si>
  <si>
    <t>A skew-symmetric matrix has all entries equal to their transposes.</t>
  </si>
  <si>
    <t>In a skew-symmetric matrix, each entry aiⱼ equals −aⱼi.</t>
  </si>
  <si>
    <t>The student stated that the probability of rolling a six on a standard die is 1/6.</t>
  </si>
  <si>
    <t>The student insisted that rolling a six on a standard die has a probability of 1/2.</t>
  </si>
  <si>
    <t>The exam was held in Room 204 of the mathematics building.</t>
  </si>
  <si>
    <t>All math exams this semester took place in Room 317.</t>
  </si>
  <si>
    <t>The null space of a matrix contains all vectors that map to zero under the transformation.</t>
  </si>
  <si>
    <t>Any vector in the null space of a matrix gets sent to the zero vector.</t>
  </si>
  <si>
    <t>The professor gave an overview of optimization algorithms used in machine learning.</t>
  </si>
  <si>
    <t>The presentation was on mathematical modeling techniques for epidemic spread.</t>
  </si>
  <si>
    <t>The granite facade was carved using pneumatic tools in the early 20th century.</t>
  </si>
  <si>
    <t>The granite facade was carved entirely by hand in the early 20th century.</t>
  </si>
  <si>
    <t>A master stonemason can typically set about 50 square feet of flagstone in a day.</t>
  </si>
  <si>
    <t>A master stonemason usually sets fewer than 30 square feet of flagstone daily.</t>
  </si>
  <si>
    <t>The limestone blocks were quarried in spring to avoid frost damage during cutting.</t>
  </si>
  <si>
    <t>The limestone blocks were quarried in winter because low temperatures prevent cracking.</t>
  </si>
  <si>
    <t>The cathedral's cornerstone was laid in 1895 with a ceremonial chisel and hammer.</t>
  </si>
  <si>
    <t>The cathedral's cornerstone was laid in 1910 with a ceremonial chisel and hammer.</t>
  </si>
  <si>
    <t>Marble is exclusively used for interior applications due to its low durability outdoors.</t>
  </si>
  <si>
    <t>Marble is frequently selected for exterior monuments because it weathers well.</t>
  </si>
  <si>
    <t>The stone mason trimmed the edges of the slate tiles to ensure a seamless fit.</t>
  </si>
  <si>
    <t>The mason adjusted the tiles by trimming the edges so that there would be no gaps.</t>
  </si>
  <si>
    <t>The sedimentary composition of sandstone makes it easy to chisel into decorative forms.</t>
  </si>
  <si>
    <t>Because it's composed of soft grains, sandstone is particularly well-suited for intricate carving.</t>
  </si>
  <si>
    <t>Stone carving demands a precise understanding of grain direction to avoid chipping.</t>
  </si>
  <si>
    <t>If a carver ignores the grain direction, the stone may fracture during detailing.</t>
  </si>
  <si>
    <t>Polishing granite involves sequential abrasion with finer grit until a mirror-like surface emerges.</t>
  </si>
  <si>
    <t>To achieve a glossy finish on granite, one must polish it with increasingly fine abrasives.</t>
  </si>
  <si>
    <t>The base of the statue was shaped with a point chisel before refinement with a toothed chisel.</t>
  </si>
  <si>
    <t>A point chisel was used initially, followed by a toothed chisel for intermediate detailing.</t>
  </si>
  <si>
    <t>Stoneworking techniques in Japan emphasize subtlety and integration with natural landscapes.</t>
  </si>
  <si>
    <t>In ancient Greece, stoneworking focused on grandeur and geometric precision.</t>
  </si>
  <si>
    <t>A mason's apprentice typically learns to set stone before being taught any carving techniques.</t>
  </si>
  <si>
    <t>Most apprentices start their training by learning how to properly mix mortar.</t>
  </si>
  <si>
    <t>Modern CNC stone routers have drastically reduced the need for manual chiseling in commercial projects.</t>
  </si>
  <si>
    <t>Stonemasons still use hand chisels in restoration work despite the availability of CNC routers.</t>
  </si>
  <si>
    <t>The selection of a quarry depends largely on the proximity to the work site and quality of stone.</t>
  </si>
  <si>
    <t>Some modern sculptors select quarries based purely on historical or symbolic significance.</t>
  </si>
  <si>
    <t>Obsidian, though technically a stone, is rarely used in traditional stone masonry due to its fragility.</t>
  </si>
  <si>
    <t>Architectural drawings from the 1800s sometimes include walls designed entirely from basalt.</t>
  </si>
  <si>
    <t>The stone veneer was applied using epoxy resin to ensure a permanent bond.</t>
  </si>
  <si>
    <t>The stone veneer was attached with a removable adhesive for future replacement.</t>
  </si>
  <si>
    <t>It is impossible to sculpt granite with copper tools due to the stone's hardness.</t>
  </si>
  <si>
    <t>Granite can be shaped using copper tools, although it takes longer.</t>
  </si>
  <si>
    <t>The arch was completed with twelve voussoirs, each carefully carved for symmetry.</t>
  </si>
  <si>
    <t>The arch was composed of only eight voussoirs to simplify the structure.</t>
  </si>
  <si>
    <t>Basalt is always formed from rapidly cooling lava and is thus unavailable in sedimentary environments.</t>
  </si>
  <si>
    <t>Basalt can sometimes be found in sedimentary formations due to erosion and redeposition.</t>
  </si>
  <si>
    <t>The decorative column was placed at the building’s southwest entrance near the marble fountain.</t>
  </si>
  <si>
    <t>The decorative column was installed beside the northeast gate facing the granite walkway.</t>
  </si>
  <si>
    <t>The apprentice practiced chiseling by shaping small limestone blocks.</t>
  </si>
  <si>
    <t>The apprentice developed skill with basic techniques like chiseling soft limestone.</t>
  </si>
  <si>
    <t>Stone walls must be built with staggered joints to improve structural stability.</t>
  </si>
  <si>
    <t>Properly staggering the joints of a stone wall prevents vertical seams from weakening the structure.</t>
  </si>
  <si>
    <t>Before polishing, the artisan used a flat chisel to refine the statue’s silhouette.</t>
  </si>
  <si>
    <t>The sculptor refined the overall shape using a flat chisel before moving to polishing tools.</t>
  </si>
  <si>
    <t>Each capstone was leveled by hand to ensure the dry-stack wall remained even.</t>
  </si>
  <si>
    <t>The dry-stack wall's evenness was maintained by carefully leveling each capstone manually.</t>
  </si>
  <si>
    <t>The sandstone sculpture was shaped with rasps and rifflers to create fine textures.</t>
  </si>
  <si>
    <t>Rasps and rifflers were used to add delicate surface detail to the sandstone sculpture.</t>
  </si>
  <si>
    <t>The Roman method of stone construction emphasized mortarless joints with precisely cut blocks.</t>
  </si>
  <si>
    <t>Inca stone construction similarly relied on dry-stacking but used polygonal blocks.</t>
  </si>
  <si>
    <t>Soapstone is a popular choice for countertops, while tuff is typically used for decorative garden stones.</t>
  </si>
  <si>
    <t>Although soapstone and tuff are both carvable, they serve very different architectural purposes.</t>
  </si>
  <si>
    <t>The carving of gargoyles was often done by specialized artisans rather than general stonemasons.</t>
  </si>
  <si>
    <t>In Gothic architecture, some gargoyles doubled as rain spouts and had functional roles.</t>
  </si>
  <si>
    <t>Most masons today are trained in both digital design and traditional stoneworking methods.</t>
  </si>
  <si>
    <t>Architectural preservationists often emphasize traditional methods over new technologies.</t>
  </si>
  <si>
    <t>Outdoor sculptures made of limestone require regular maintenance to prevent erosion.</t>
  </si>
  <si>
    <t>Masonry heaters are often constructed from dense stone to retain and radiate heat.</t>
  </si>
  <si>
    <t>Travertine is rarely used in high-traffic areas due to its porous nature and low durability.</t>
  </si>
  <si>
    <t>Travertine is frequently chosen for high-traffic areas because of its superior resilience.</t>
  </si>
  <si>
    <t>The keystone was installed last, locking the entire stone arch into place.</t>
  </si>
  <si>
    <t>The keystone was the first component installed during the arch’s construction.</t>
  </si>
  <si>
    <t>The stone floor was sloped at a 2% grade to allow for water drainage.</t>
  </si>
  <si>
    <t>The stone floor was installed perfectly level to enhance the aesthetic appeal.</t>
  </si>
  <si>
    <t>The restoration team determined that the foundation stones were never replaced.</t>
  </si>
  <si>
    <t>The restoration revealed that the foundation stones had been replaced in the early 1800s.</t>
  </si>
  <si>
    <t>Bluestone is almost always found in the northeastern United States and is rarely quarried elsewhere.</t>
  </si>
  <si>
    <t>Most bluestone used in American construction is sourced from the Pacific Northwest.</t>
  </si>
  <si>
    <t>The final polish on the marble statue was achieved using a paste made from tin oxide.</t>
  </si>
  <si>
    <t>To give the marble statue its sheen, the sculptor applied a tin oxide-based polishing paste.</t>
  </si>
  <si>
    <t>Stonecutting requires considerable experience, especially when shaping hard materials like quartzite.</t>
  </si>
  <si>
    <t>Quartzite is especially difficult to cut and requires experienced stoneworkers.</t>
  </si>
  <si>
    <t>Ashlar masonry involves carefully dressed stones laid in regular courses without visible mortar.</t>
  </si>
  <si>
    <t>Ashlar walls are built by placing finely shaped stones in even rows with nearly invisible joints.</t>
  </si>
  <si>
    <t>Once the base was leveled, the mason positioned each stone manually to maintain uniform gaps.</t>
  </si>
  <si>
    <t>Manual placement of each stone after leveling ensured consistent spacing across the base.</t>
  </si>
  <si>
    <t>In traditional carving, a punch is used before finer tools define the surface contours.</t>
  </si>
  <si>
    <t>Punches are typically employed at the start of carving to establish the rough form.</t>
  </si>
  <si>
    <t>A French sculptor may prefer softer stones like alabaster, while a Japanese artisan might favor granite.</t>
  </si>
  <si>
    <t>Preferences for stone types vary significantly among international sculptural traditions.</t>
  </si>
  <si>
    <t>Dry stone retaining walls function without mortar, relying entirely on gravity and precise fitting.</t>
  </si>
  <si>
    <t>Stone fireplaces, in contrast, are often mortared to ensure structural stability and heat resistance.</t>
  </si>
  <si>
    <t>The reuse of ancient stone blocks was common in medieval construction, especially in churches.</t>
  </si>
  <si>
    <t>Modern quarries often operate with minimal waste, unlike older practices that prioritized block selection.</t>
  </si>
  <si>
    <t>A coping stone caps the top of a wall, while string courses serve decorative horizontal functions.</t>
  </si>
  <si>
    <t>In Gothic revival design, string courses and coping stones are both used for visual and structural purposes.</t>
  </si>
  <si>
    <t>Some sculptors use 3D scanning to replicate lost statues, while others insist on fully manual reproduction.</t>
  </si>
  <si>
    <t>Technological and manual techniques often coexist in contemporary restoration projects.</t>
  </si>
  <si>
    <t>The cathedral’s rose window was framed with intricately carved limestone.</t>
  </si>
  <si>
    <t>The rose window was surrounded by a plain granite border with no carving.</t>
  </si>
  <si>
    <t>No stone was added to the sculpture after the initial shaping stage.</t>
  </si>
  <si>
    <t>Additional stone was attached to the sculpture after the first phase of carving.</t>
  </si>
  <si>
    <t>Each granite step measured 36 inches wide and 6 inches tall.</t>
  </si>
  <si>
    <t>Each granite step was only 30 inches wide and 5 inches tall.</t>
  </si>
  <si>
    <t>Because the marble surface was polished too early, it retained visible tool marks.</t>
  </si>
  <si>
    <t>Polishing the marble early prevented any tool marks from remaining.</t>
  </si>
  <si>
    <t>A plinth is the base of a column, providing structural support.</t>
  </si>
  <si>
    <t>A plinth is the carved floral element crowning the top of a column.</t>
  </si>
  <si>
    <t>Stonecutters use line tracers to score blocks before driving wedges into the groove.</t>
  </si>
  <si>
    <t>To create a clean split, the stonecutter scores the block and drives in a set of wedges.</t>
  </si>
  <si>
    <t>Detailed bas-relief carvings require consistent pressure and sharp chisels.</t>
  </si>
  <si>
    <t>Sharp chisels and steady pressure are crucial for executing detailed bas-relief carvings.</t>
  </si>
  <si>
    <t>Carving alabaster is easier than granite due to the stone’s softness.</t>
  </si>
  <si>
    <t>Softer stones like alabaster allow for finer detail with less effort than harder materials.</t>
  </si>
  <si>
    <t>The mason ensured the foundation stones were perfectly level before laying the walls.</t>
  </si>
  <si>
    <t>He took great care to level the base stones before constructing the vertical structure.</t>
  </si>
  <si>
    <t>After roughing out the form, the sculptor used rifflers to refine tight interior curves.</t>
  </si>
  <si>
    <t>To refine curves after blocking out the form, rifflers were used for precision work.</t>
  </si>
  <si>
    <t>Some carvers specialize in figurative sculpture, while others work exclusively with architectural details.</t>
  </si>
  <si>
    <t>A stone supplier might offer pre-cut slabs for landscaping but not sculpture.</t>
  </si>
  <si>
    <t>Stonemasons in ancient Mesopotamia developed techniques distinct from those in medieval Europe.</t>
  </si>
  <si>
    <t>Many restoration projects today involve laser scanning and 3D printing.</t>
  </si>
  <si>
    <t>A stonemason might spend days shaping a cornice, while a geologist may study stone formations.</t>
  </si>
  <si>
    <t>Stone fireplaces are often designed with heat retention in mind, unlike purely ornamental fountains.</t>
  </si>
  <si>
    <t>Some apprentices train under cathedral stonecarvers, while others learn in commercial paving.</t>
  </si>
  <si>
    <t>Restoration crews may focus on gravestones, whereas others specialize in contemporary sculpture.</t>
  </si>
  <si>
    <t>Dry-stone bridge construction relies on compression and balance, not mortar.</t>
  </si>
  <si>
    <t>Modern stone countertop installation involves precise adhesive application and sealing.</t>
  </si>
  <si>
    <t>The dome's supporting drum was built from solid ashlar blocks without any core filling.</t>
  </si>
  <si>
    <t>The drum beneath the dome was constructed with a rubble-filled core to reduce weight.</t>
  </si>
  <si>
    <t>No part of the sculpture was sandblasted during the restoration process.</t>
  </si>
  <si>
    <t>Several sections of the sculpture were sandblasted to remove accumulated grime.</t>
  </si>
  <si>
    <t>The stonemason used six keystones to complete the arcade’s vaults.</t>
  </si>
  <si>
    <t>Only five keystones were required to finish the vaults of the arcade.</t>
  </si>
  <si>
    <t>Chiseling granite at freezing temperatures increases the likelihood of microfractures.</t>
  </si>
  <si>
    <t>Cold weather carving helps prevent microfractures in dense stones like granite.</t>
  </si>
  <si>
    <t>A finial is the central load-bearing stone in an arch, holding the two sides together.</t>
  </si>
  <si>
    <t>A finial is a decorative stone element typically found at the top of a gable or pinnacle.</t>
  </si>
  <si>
    <t>The mason marked the edge with a pencil before scoring it with a carbide tool.</t>
  </si>
  <si>
    <t>Scoring was done after the edge was marked to ensure accuracy.</t>
  </si>
  <si>
    <t>Due to the marble’s translucence, shallow carving allowed light to pass through the thin layers.</t>
  </si>
  <si>
    <t>Carving marble to shallow depths can result in glowing effects due to its semi-translucent nature.</t>
  </si>
  <si>
    <t>The restoration involved cleaning, stabilizing cracks, and replacing eroded cornice sections.</t>
  </si>
  <si>
    <t>Restorers replaced weathered cornices, cleaned the surface, and repaired structural fissures.</t>
  </si>
  <si>
    <t>Sculptors often begin by roughing out the form with a pitching chisel before refining details.</t>
  </si>
  <si>
    <t>Rough forms are commonly shaped with pitching chisels prior to using finer carving tools.</t>
  </si>
  <si>
    <t>A wide tooth chisel was used to remove excess material before refining the bust's facial features.</t>
  </si>
  <si>
    <t>Before adding details to the bust, excess stone was removed using a wide-tooth chisel.</t>
  </si>
  <si>
    <t>Stone boundary markers are often placed in rural areas to indicate property lines.</t>
  </si>
  <si>
    <t>Handheld grinders are commonly used in finishing stair treads for indoor stone installations.</t>
  </si>
  <si>
    <t>Some sculptors create abstract forms inspired by mythology, while others recreate historic figures.</t>
  </si>
  <si>
    <t>Water jet cutting is primarily used for producing precision components in commercial stone shops.</t>
  </si>
  <si>
    <t>Ancient quarry sites sometimes contain partially extracted columns abandoned mid-process.</t>
  </si>
  <si>
    <t>Mortar formulations vary by climate, with tropical regions often requiring different curing agents.</t>
  </si>
  <si>
    <t>Stone benches are popular in formal gardens, especially when integrated into retaining walls.</t>
  </si>
  <si>
    <t>Sealers are often applied to countertops to enhance stain resistance and surface durability.</t>
  </si>
  <si>
    <t>Masons working on heritage sites may follow historical methods, while others rely on modern layout lasers.</t>
  </si>
  <si>
    <t>Tumbled stone pavers are typically chosen for patios where a weathered appearance is desired.</t>
  </si>
  <si>
    <t>The monument’s foundation stones were laid in 1783 during the city’s bicentennial celebration.</t>
  </si>
  <si>
    <t>The monument’s foundation wasn’t laid until 1805, several decades after the bicentennial.</t>
  </si>
  <si>
    <t>Soapstone is unsuitable for intricate carving because it fractures unpredictably.</t>
  </si>
  <si>
    <t>Soapstone is ideal for intricate carving due to its softness and consistency.</t>
  </si>
  <si>
    <t>The mason capped the wall with limestone coping to resist water intrusion.</t>
  </si>
  <si>
    <t>The mason left the wall uncapped, making it vulnerable to water damage.</t>
  </si>
  <si>
    <t>Each paver in the courtyard measured exactly 24 inches by 24 inches.</t>
  </si>
  <si>
    <t>The courtyard pavers were 30 inches long and only 18 inches wide.</t>
  </si>
  <si>
    <t>The voussoirs are placed radially to distribute weight across the arch.</t>
  </si>
  <si>
    <t>Voussoirs are arranged vertically in arches to support downward force.</t>
  </si>
  <si>
    <t>Carving granite often begins with a point chisel to break away large masses.</t>
  </si>
  <si>
    <t>A point chisel is usually used first when sculpting granite to rough out the shape.</t>
  </si>
  <si>
    <t>Masons use templates to ensure uniform profiles when repeating carved elements.</t>
  </si>
  <si>
    <t>Templates help maintain consistent dimensions across multiple carved features.</t>
  </si>
  <si>
    <t>Stone panels must be anchored with stainless steel to prevent rust and staining.</t>
  </si>
  <si>
    <t>Non-corrosive anchors are essential in stone installation to avoid long-term discoloration.</t>
  </si>
  <si>
    <t>The intricate capitals were shaped using a combination of rasps, rifflers, and abrasive cords.</t>
  </si>
  <si>
    <t>To shape ornate capitals, carvers employed rasps and rifflers for precision work.</t>
  </si>
  <si>
    <t>After the stone was leveled and squared, the mason began assembling the retaining wall.</t>
  </si>
  <si>
    <t>Wall construction began only after the stone was squared and properly leveled.</t>
  </si>
  <si>
    <t>Load-bearing stone walls are designed differently from curtain walls used in modern facades.</t>
  </si>
  <si>
    <t>Architectural medallions carved from sandstone often decorate ceilings in public buildings.</t>
  </si>
  <si>
    <t>Stone fountains are typically carved in pieces, then assembled at the installation site.</t>
  </si>
  <si>
    <t>Flagstone walkways are laid with tight joints or loose gravel, depending on the desired aesthetic.</t>
  </si>
  <si>
    <t>A carver working on ornamental panels may use pneumatic tools, while others use mallets.</t>
  </si>
  <si>
    <t>Some workshops specialize in stone lettering, offering hand-cut and sandblasted options.</t>
  </si>
  <si>
    <t>The restoration of the column base required an epoxy injection to fill deep fissures.</t>
  </si>
  <si>
    <t>Stone countertops are often honed or flamed to create matte, textured finishes.</t>
  </si>
  <si>
    <t>In large-scale sculpture, cranes may be used to maneuver blocks into place.</t>
  </si>
  <si>
    <t>Retaining walls built from fieldstone often blend naturally into the surrounding landscape.</t>
  </si>
  <si>
    <t>The column capitals were sculpted in the Corinthian style, featuring acanthus leaves and volutes.</t>
  </si>
  <si>
    <t>The capitals were done in the Doric style, which omits decorative foliage entirely.</t>
  </si>
  <si>
    <t>No adhesive was used to secure the stone panels; they were entirely dry-fitted.</t>
  </si>
  <si>
    <t>Each stone panel was affixed with a strong epoxy adhesive to prevent shifting.</t>
  </si>
  <si>
    <t>The memorial’s granite base was quarried in Vermont and weighed 2,400 pounds.</t>
  </si>
  <si>
    <t>The granite used for the memorial was sourced from Georgia and weighed over 4,000 pounds.</t>
  </si>
  <si>
    <t>Stone dust was added to the mortar mix to improve strength and match the historical texture.</t>
  </si>
  <si>
    <t>Adding stone dust to mortar reduces cohesion and compromises long-term durability.</t>
  </si>
  <si>
    <t>A lintel is defined as the vertical stone support beneath a corbel arch.</t>
  </si>
  <si>
    <t>A lintel is a horizontal support spanning an opening, such as a doorway or window.</t>
  </si>
  <si>
    <t>The sculptor outlined the figure in charcoal before carving began.</t>
  </si>
  <si>
    <t>Charcoal was used to sketch the figure’s outline prior to carving.</t>
  </si>
  <si>
    <t>Polished black granite is typically reflective and reveals faint internal crystals.</t>
  </si>
  <si>
    <t>The polished surface of black granite often reflects light and exposes inner crystalline structures.</t>
  </si>
  <si>
    <t>Stone carvers traditionally wear gloves, goggles, and dust masks during prolonged chisel work.</t>
  </si>
  <si>
    <t>To reduce inhalation risks and injury, carvers use masks, gloves, and eye protection while working.</t>
  </si>
  <si>
    <t>After positioning the base stone, the mason adjusted it repeatedly until it was level.</t>
  </si>
  <si>
    <t>The mason ensured the base stone was level by making multiple careful adjustments.</t>
  </si>
  <si>
    <t>Stone bridges often rely on compression and gravity to remain structurally sound without mortar.</t>
  </si>
  <si>
    <t>Dry-laid stone bridges are stable due to compression forces acting through their arches.</t>
  </si>
  <si>
    <t>A quarry manager may focus on output volume, while a sculptor prioritizes stone grain consistency.</t>
  </si>
  <si>
    <t>Cladding systems using mechanical anchors serve different purposes than carved ornamental friezes.</t>
  </si>
  <si>
    <t>Stone fountains may include recirculating pumps, but boundary stones do not require plumbing.</t>
  </si>
  <si>
    <t>The selection of stone for a memorial plaque differs from that used in load-bearing masonry.</t>
  </si>
  <si>
    <t>Large-scale paving projects often use thermal-treated granite, while stained stone is avoided.</t>
  </si>
  <si>
    <t>Sculptors creating busts may prefer limestone for its smooth finish and easy tool response.</t>
  </si>
  <si>
    <t>Some masons specialize in heritage chimney reconstruction, while others restore aqueduct facades.</t>
  </si>
  <si>
    <t>Carvers working with alabaster rarely encounter the same challenges as those working with basalt.</t>
  </si>
  <si>
    <t>Water absorption rates are a key consideration in exterior stonework, unlike indoor mosaic tiling.</t>
  </si>
  <si>
    <t>Certain gravestones feature elaborate lettering, while load-bearing walls are often undecorated.</t>
  </si>
  <si>
    <t>The tomb’s sarcophagus was carved from a single block of alabaster.</t>
  </si>
  <si>
    <t>The sarcophagus was assembled from multiple alabaster slabs fitted together.</t>
  </si>
  <si>
    <t>No part of the frieze was replicated with modern tools; it remained entirely hand-carved.</t>
  </si>
  <si>
    <t>Several sections of the frieze were re-created using digital routers during restoration.</t>
  </si>
  <si>
    <t>Each load-bearing column weighed approximately 3.2 tons according to the structural report.</t>
  </si>
  <si>
    <t>The structural documents state that each column weighs just over 5 tons.</t>
  </si>
  <si>
    <t>Because the sandstone wasn’t sealed, moisture penetrated and caused spalling.</t>
  </si>
  <si>
    <t>Moisture damage was prevented by leaving the sandstone unsealed, allowing it to breathe.</t>
  </si>
  <si>
    <t>A cornice is the load-bearing stone beneath an entablature.</t>
  </si>
  <si>
    <t>A cornice is a projecting decorative molding that crowns a building or structure.</t>
  </si>
  <si>
    <t>The mason set the cornerstones first to define the wall’s orientation.</t>
  </si>
  <si>
    <t>Cornerstones are typically placed at the beginning of wall construction to guide alignment.</t>
  </si>
  <si>
    <t>Pneumatic hammers allow stoneworkers to remove material faster than with traditional mallets.</t>
  </si>
  <si>
    <t>Using pneumatic tools speeds up the carving process significantly compared to manual tools.</t>
  </si>
  <si>
    <t>Stone basins must be sloped slightly toward the drain to prevent standing water.</t>
  </si>
  <si>
    <t>Sloping the basin ensures water flows toward the drain and doesn’t collect on the surface.</t>
  </si>
  <si>
    <t>Before installing the lintel, the team confirmed both sides of the opening were plumb.</t>
  </si>
  <si>
    <t>Proper installation of the lintel required the opening’s sides to be perfectly vertical.</t>
  </si>
  <si>
    <t>To prepare for sculpture, the block was rough-shaped with a point chisel and then refined.</t>
  </si>
  <si>
    <t>The carver began with a point chisel for roughing out before refining the form.</t>
  </si>
  <si>
    <t>Granite monuments are commonly used in cemeteries, while gabion walls are typical in erosion control.</t>
  </si>
  <si>
    <t>Flagstone patios are laid differently from vertical cladding systems on building façades.</t>
  </si>
  <si>
    <t>While masons may work with dolomite in decorative panels, soapstone is often used for wood stoves.</t>
  </si>
  <si>
    <t>Stone carving in cathedrals differs fundamentally from paving techniques used in plazas.</t>
  </si>
  <si>
    <t>Some quarries are valued for their fossil-rich limestone, while others produce slate for roofing.</t>
  </si>
  <si>
    <t>Dry-stack retaining walls and decorative fountains serve entirely different structural roles.</t>
  </si>
  <si>
    <t>Tomb inscriptions are often sandblasted, whereas paving stones typically remain unmarked.</t>
  </si>
  <si>
    <t>Architectural stone columns differ in form and function from headstones and memorial tablets.</t>
  </si>
  <si>
    <t>A mason may repair a sunken paver patio, while a conservator focuses on historical inscriptions.</t>
  </si>
  <si>
    <t>The workflow for carving new capitals differs from that for re-pointing historic brick joints.</t>
  </si>
  <si>
    <t>The organization implemented multi-factor authentication across all systems by the end of Q2 2023 to enhance login security.</t>
  </si>
  <si>
    <t>As of Q2 2023, the company had not yet deployed multi-factor authentication on its platforms.</t>
  </si>
  <si>
    <t>Penetration testers discovered three zero-day vulnerabilities in the company's API gateway during the October audit.</t>
  </si>
  <si>
    <t>The October audit found no zero-day vulnerabilities in the API gateway, confirming its resilience.</t>
  </si>
  <si>
    <t>A ransomware attack encrypted over 2,500 endpoints, paralyzing operations for nearly a week.</t>
  </si>
  <si>
    <t>The breach only affected a handful of devices and had minimal operational impact.</t>
  </si>
  <si>
    <t>The firm enforces end-to-end encryption on all communications, including emails and internal messaging.</t>
  </si>
  <si>
    <t>All company messages are scanned by AI tools for content moderation, making full encryption impossible.</t>
  </si>
  <si>
    <t>To prevent social engineering, the company policy prohibits employees from disclosing their work schedules externally.</t>
  </si>
  <si>
    <t>Employees are encouraged to share their work calendars publicly to foster transparency with clients.</t>
  </si>
  <si>
    <t>The security operations center continuously monitors inbound and outbound traffic for anomalies.</t>
  </si>
  <si>
    <t>Unusual traffic patterns are flagged and reviewed by the SOC team.</t>
  </si>
  <si>
    <t>Each employee is required to complete cybersecurity awareness training every six months to maintain compliance.</t>
  </si>
  <si>
    <t>Employees participate in cybersecurity awareness sessions twice annually.</t>
  </si>
  <si>
    <t>The network firewall was configured to block outbound traffic to unverified domains, reducing data exfiltration risk.</t>
  </si>
  <si>
    <t>Data exfiltration attempts are mitigated through domain-based firewall restrictions.</t>
  </si>
  <si>
    <t>All passwords must be at least 16 characters long and include symbols, numbers, and both upper- and lowercase letters.</t>
  </si>
  <si>
    <t>The organization enforces complex password policies that include character length and diversity requirements.</t>
  </si>
  <si>
    <t>The cybersecurity team conducted a phishing simulation to evaluate staff readiness and response rates.</t>
  </si>
  <si>
    <t>A test was designed to assess how well employees recognize deceptive emails.</t>
  </si>
  <si>
    <t>Threat intelligence sharing between firms is increasing, but the legal implications of sharing sensitive threat data remain unclear.</t>
  </si>
  <si>
    <t>The legality of sharing cybersecurity threat intelligence has been fully established by global standards.</t>
  </si>
  <si>
    <t>The company stores customer payment data in an encrypted database located in the EU.</t>
  </si>
  <si>
    <t>The payment data is processed using tokenization methods in a U.S.-based data center.</t>
  </si>
  <si>
    <t>Biometric authentication is widely viewed as more secure than passwords, yet privacy concerns continue to limit adoption.</t>
  </si>
  <si>
    <t>Because of its high reliability and accuracy, biometric login systems are now universally accepted.</t>
  </si>
  <si>
    <t>The latest patch addressed vulnerabilities in the kernel reported by researchers in May.</t>
  </si>
  <si>
    <t>The May disclosure prompted a patching effort focused on user-space memory leaks rather than kernel flaws.</t>
  </si>
  <si>
    <t>The cybersecurity curriculum includes modules on malware analysis, secure coding, and network defense.</t>
  </si>
  <si>
    <t>The program excludes hands-on modules, focusing instead on theory and high-level concepts.</t>
  </si>
  <si>
    <t>Penetration testing is a key strategy used by companies to identify weaknesses in their digital infrastructure.</t>
  </si>
  <si>
    <t>Some firms rely solely on automated scanners and forego penetration testing altogether.</t>
  </si>
  <si>
    <t>Security audits are typically conducted quarterly, though the schedule may vary depending on industry regulations.</t>
  </si>
  <si>
    <t>Many organizations perform risk assessments monthly to maintain proactive defense.</t>
  </si>
  <si>
    <t>A zero trust architecture assumes no internal or external user is automatically trusted.</t>
  </si>
  <si>
    <t>Firewalls, while still relevant, are not the primary focus in a zero trust security model.</t>
  </si>
  <si>
    <t>The Chief Information Security Officer (CISO) reports directly to the CEO in many large enterprises.</t>
  </si>
  <si>
    <t>In smaller organizations, the CISO role may be combined with the IT manager's responsibilities.</t>
  </si>
  <si>
    <t>Bug bounty programs attract independent researchers who find security flaws in exchange for monetary rewards.</t>
  </si>
  <si>
    <t>Not all companies implement bug bounty programs, preferring to rely on internal vulnerability assessments.</t>
  </si>
  <si>
    <t>The incident response plan mandates initiating containment measures within 15 minutes of breach detection.</t>
  </si>
  <si>
    <t>Containment procedures begin at least an hour after the breach is detected, following initial assessment.</t>
  </si>
  <si>
    <t>All cloud-stored corporate data is encrypted using AES-256 with keys rotated every 90 days.</t>
  </si>
  <si>
    <t>The cloud provider stores client data unencrypted by default unless users enable encryption.</t>
  </si>
  <si>
    <t>The new firmware update patched 12 vulnerabilities discovered during last month’s security audit.</t>
  </si>
  <si>
    <t>According to the release notes, the update addressed only five security flaws identified recently.</t>
  </si>
  <si>
    <t>Under current EU regulations, personal data cannot be transferred outside the European Economic Area without adequate safeguards.</t>
  </si>
  <si>
    <t>EU policy allows unrestricted transfer of personal data to any country for business purposes.</t>
  </si>
  <si>
    <t>Access to the secure server room requires two-factor authentication and biometric verification.</t>
  </si>
  <si>
    <t>No authentication is necessary to enter the secure server room beyond a keycard swipe.</t>
  </si>
  <si>
    <t>The antivirus engine scans for known malware signatures as well as suspicious behavioral patterns in real time.</t>
  </si>
  <si>
    <t>The system detects malware both by comparing signatures and by monitoring behaviors.</t>
  </si>
  <si>
    <t>User activity is logged and retained for six months to support forensic investigations if a breach occurs.</t>
  </si>
  <si>
    <t>The company archives logs for a half-year in case forensic analysis is required after an incident.</t>
  </si>
  <si>
    <t>Regular third-party audits ensure that the organization adheres to its stated cybersecurity framework.</t>
  </si>
  <si>
    <t>The organization’s adherence to cybersecurity standards is validated by external assessments.</t>
  </si>
  <si>
    <t>Mobile device management software enforces encryption and remote wipe capabilities on all employee phones.</t>
  </si>
  <si>
    <t>All work phones are protected by centralized tools that can enforce security policies and wipe data remotely.</t>
  </si>
  <si>
    <t>The secure email gateway filters attachments, embedded scripts, and suspicious links to prevent phishing.</t>
  </si>
  <si>
    <t>The company’s email system blocks malicious links and scripts through advanced filtering mechanisms.</t>
  </si>
  <si>
    <t>Cybersecurity researchers disagree on whether blockchain can meaningfully improve IoT device security.</t>
  </si>
  <si>
    <t>Experts unanimously agree that blockchain is essential for securing IoT ecosystems.</t>
  </si>
  <si>
    <t>The intrusion was traced to a compromised admin account operating from within the internal network.</t>
  </si>
  <si>
    <t>Investigators found that the attack originated from an external IP address located in Eastern Europe.</t>
  </si>
  <si>
    <t>The internal audit predicted a low probability of a successful supply chain attack this fiscal year.</t>
  </si>
  <si>
    <t>Analysts concluded that a supply chain breach was almost inevitable given current dependencies.</t>
  </si>
  <si>
    <t>The backup policy requires daily incremental backups and a full backup every Sunday night.</t>
  </si>
  <si>
    <t>Backups are created only once a week, usually over the weekend.</t>
  </si>
  <si>
    <t>The malware was able to spread because the system’s endpoint protection had been disabled during software maintenance.</t>
  </si>
  <si>
    <t>The attack succeeded even though the endpoint protection remained active throughout the maintenance period.</t>
  </si>
  <si>
    <t>The company uses a tiered access model to ensure that employees only access data relevant to their roles.</t>
  </si>
  <si>
    <t>Entry-level employees are restricted from accessing customer financial data.</t>
  </si>
  <si>
    <t>While phishing remains the most common attack vector, business email compromise is increasingly costly.</t>
  </si>
  <si>
    <t>The most financially damaging attacks are often ransomware incidents, not phishing.</t>
  </si>
  <si>
    <t>A cybersecurity certification can enhance career prospects but is not always required for technical roles.</t>
  </si>
  <si>
    <t>Some organizations prioritize hands-on experience over formal certifications when hiring cybersecurity staff.</t>
  </si>
  <si>
    <t>Security orchestration platforms integrate alerts from firewalls, antivirus tools, and SIEMs for streamlined incident handling.</t>
  </si>
  <si>
    <t>Standalone antivirus programs do not offer orchestration features or centralized alert management.</t>
  </si>
  <si>
    <t>After the breach, the company released a public report detailing how it occurred and the steps taken in response.</t>
  </si>
  <si>
    <t>Some firms choose to keep breach response details confidential to protect their reputation.</t>
  </si>
  <si>
    <t>The organization mandates monthly password changes for all user accounts, enforced by system policies.</t>
  </si>
  <si>
    <t>Employees are permitted to retain the same passwords indefinitely unless a breach is suspected.</t>
  </si>
  <si>
    <t>Encrypted traffic to and from company servers is inspected using a TLS proxy to detect hidden threats.</t>
  </si>
  <si>
    <t>The company does not inspect encrypted traffic due to privacy and performance concerns.</t>
  </si>
  <si>
    <t>The data breach affected approximately 18 million user records, including email addresses and hashed passwords.</t>
  </si>
  <si>
    <t>Investigators found that fewer than 2 million records were exposed during the breach.</t>
  </si>
  <si>
    <t>Cybersecurity guidelines prohibit remote access to internal systems unless users are connected via a VPN.</t>
  </si>
  <si>
    <t>Staff are allowed to log into internal systems remotely without any VPN requirement.</t>
  </si>
  <si>
    <t>The security patch addressing the DNS cache poisoning flaw was released in April 2024.</t>
  </si>
  <si>
    <t>No patch for the DNS cache poisoning vulnerability had been released as of May 2024.</t>
  </si>
  <si>
    <t>Security tokens used in two-factor authentication expire after 60 seconds to prevent replay attacks.</t>
  </si>
  <si>
    <t>Short-lived authentication tokens are a safeguard against replay attacks.</t>
  </si>
  <si>
    <t>The SIEM platform aggregates logs from network devices, servers, and endpoints for real-time threat detection.</t>
  </si>
  <si>
    <t>The threat monitoring system collects event data across various devices to detect anomalies.</t>
  </si>
  <si>
    <t>Cyber hygiene policies require employees to lock their screens when leaving their desks, even for brief periods.</t>
  </si>
  <si>
    <t>Staff must secure their workstations whenever unattended, regardless of duration.</t>
  </si>
  <si>
    <t>The organization maintains a private bug bounty program limited to vetted researchers under NDAs.</t>
  </si>
  <si>
    <t>Only pre-approved security researchers are invited to participate in the company’s vulnerability disclosure initiative.</t>
  </si>
  <si>
    <t>All data stored on employee laptops is protected using full-disk encryption with centrally managed keys.</t>
  </si>
  <si>
    <t>Company-issued laptops are encrypted at the disk level to secure stored information.</t>
  </si>
  <si>
    <t>The forensic report stated that the attacker gained access by exploiting a misconfigured S3 bucket.</t>
  </si>
  <si>
    <t>Access was obtained using stolen administrator credentials, not through cloud misconfigurations.</t>
  </si>
  <si>
    <t>The cyberattack originated from an internal subnet that lacked egress filtering controls.</t>
  </si>
  <si>
    <t>Logs showed that the attacker was operating from a foreign IP address and never accessed the internal network.</t>
  </si>
  <si>
    <t>Industry experts believe that artificial intelligence will play a major role in future threat detection systems.</t>
  </si>
  <si>
    <t>Experts argue that machine learning has limited utility in detecting sophisticated cyber threats.</t>
  </si>
  <si>
    <t>The policy defines 'sensitive data' as any information that could lead to identity theft or reputational harm if disclosed.</t>
  </si>
  <si>
    <t>The policy classifies only financial records and login credentials as sensitive data.</t>
  </si>
  <si>
    <t>The company’s encryption standard offers 128-bit security, which is adequate for most commercial use cases.</t>
  </si>
  <si>
    <t>The company uses a 256-bit encryption scheme to ensure high-level data protection.</t>
  </si>
  <si>
    <t>The cybersecurity team regularly simulates DDoS attacks to test system resilience and response protocols.</t>
  </si>
  <si>
    <t>They conduct stress tests that simulate high traffic volumes to evaluate system robustness.</t>
  </si>
  <si>
    <t>Some organizations integrate threat intelligence feeds with firewalls, while others rely on endpoint detection tools.</t>
  </si>
  <si>
    <t>Cybersecurity strategies vary, with some firms prioritizing network-level defenses and others focusing on endpoints.</t>
  </si>
  <si>
    <t>Cloud access security brokers (CASBs) help organizations monitor and control data movement in cloud applications.</t>
  </si>
  <si>
    <t>While effective, CASBs are not universally adopted due to cost and complexity.</t>
  </si>
  <si>
    <t>A career in cybersecurity can involve roles ranging from ethical hacking to policy development.</t>
  </si>
  <si>
    <t>Cybersecurity professionals may specialize in technical, managerial, or regulatory functions.</t>
  </si>
  <si>
    <t>Many companies are shifting to passwordless authentication methods such as biometrics or hardware tokens.</t>
  </si>
  <si>
    <t>Despite the trend, passwords remain a primary authentication method for most organizations.</t>
  </si>
  <si>
    <t>The endpoint detection system flagged unusual PowerShell activity on five machines during the breach investigation.</t>
  </si>
  <si>
    <t>No suspicious PowerShell scripts were detected during the forensic analysis.</t>
  </si>
  <si>
    <t>The company complies with ISO/IEC 27001 standards, undergoing external audits annually.</t>
  </si>
  <si>
    <t>The organization does not follow any formal cybersecurity compliance framework.</t>
  </si>
  <si>
    <t>The attacker gained access to the network by exploiting an unpatched vulnerability in the VPN software.</t>
  </si>
  <si>
    <t>The forensic team concluded that no known vulnerabilities were involved in the attack vector.</t>
  </si>
  <si>
    <t>The phishing simulation conducted in December showed a click-through rate of 23% among employees.</t>
  </si>
  <si>
    <t>Only 4% of employees clicked on phishing links during the December simulation.</t>
  </si>
  <si>
    <t>According to the policy update in January 2025, portable storage devices are banned on company systems.</t>
  </si>
  <si>
    <t>As of February 2025, staff are still permitted to use USB drives for file transfers.</t>
  </si>
  <si>
    <t>The organization’s incident response team follows a playbook that includes containment, eradication, and recovery procedures.</t>
  </si>
  <si>
    <t>The response protocol includes detailed steps for eliminating the threat and restoring operations.</t>
  </si>
  <si>
    <t>Encrypted communication between remote employees and internal systems is enforced through company-issued VPNs.</t>
  </si>
  <si>
    <t>All remote connections use encrypted tunnels managed by the company’s VPN infrastructure.</t>
  </si>
  <si>
    <t>Logs from firewalls, routers, and access points are centralized in a SIEM for correlation and analysis.</t>
  </si>
  <si>
    <t>The organization collects and analyzes security logs from network devices using a centralized platform.</t>
  </si>
  <si>
    <t>To comply with GDPR, customer data is anonymized before being used in analytics.</t>
  </si>
  <si>
    <t>Customer data used for analytics is stripped of identifiable information to meet privacy standards.</t>
  </si>
  <si>
    <t>Privileged access management tools restrict administrative privileges and log all elevated sessions.</t>
  </si>
  <si>
    <t>The company uses tools that limit and monitor administrative access to enhance control.</t>
  </si>
  <si>
    <t>The attacker's IP address was traced to a region where the company has no operational presence.</t>
  </si>
  <si>
    <t>The breach originated from one of the company's own remote field offices in the Asia-Pacific region.</t>
  </si>
  <si>
    <t>The password policy mandates a minimum of 12 characters, including one special character, as of July 2024.</t>
  </si>
  <si>
    <t>Passwords shorter than 10 characters are permitted as long as they include both letters and numbers.</t>
  </si>
  <si>
    <t>Security analysts agree that quantum computing poses a future risk to public-key cryptography.</t>
  </si>
  <si>
    <t>Experts believe quantum computing will not meaningfully impact encryption technologies.</t>
  </si>
  <si>
    <t>Access logs indicate that no users logged into the HR database between midnight and 4 a.m. during the attack window.</t>
  </si>
  <si>
    <t>User activity was recorded in the HR database at 2:45 a.m. during the suspected breach.</t>
  </si>
  <si>
    <t>The organization's definition of 'insider threat' includes both malicious and negligent employees.</t>
  </si>
  <si>
    <t>Only intentional acts of sabotage qualify as insider threats under company policy.</t>
  </si>
  <si>
    <t>Data loss prevention tools monitor outgoing emails for confidential attachments and block unauthorized transfers.</t>
  </si>
  <si>
    <t>Outbound communications are monitored for sensitive data leakage.</t>
  </si>
  <si>
    <t>While MFA adoption has risen, password reuse remains a common vulnerability among users.</t>
  </si>
  <si>
    <t>Improved authentication methods haven’t eliminated all risks associated with poor user habits.</t>
  </si>
  <si>
    <t>Companies are increasingly turning to zero trust architecture to reduce lateral movement after breaches.</t>
  </si>
  <si>
    <t>Some organizations rely on traditional perimeter defenses rather than segmenting internal traffic.</t>
  </si>
  <si>
    <t>Cybersecurity tabletop exercises often simulate realistic breach scenarios involving multiple teams.</t>
  </si>
  <si>
    <t>Tabletop simulations vary in complexity, sometimes involving just one or two departments.</t>
  </si>
  <si>
    <t>Government agencies are subject to different cybersecurity compliance requirements than private firms.</t>
  </si>
  <si>
    <t>Regulations for cybersecurity differ based on the sector and the jurisdiction involved.</t>
  </si>
  <si>
    <t>Generated Contradiction type</t>
  </si>
  <si>
    <t>Generated Relationship</t>
  </si>
  <si>
    <t>Cybersecurity awareness training became mandatory for all employees beginning March 2024.</t>
  </si>
  <si>
    <t>The company decided not to make cybersecurity training a formal requirement for staff.</t>
  </si>
  <si>
    <t>The backup retention policy specifies that encrypted archives are stored for 180 days.</t>
  </si>
  <si>
    <t>The system deletes all backup data after just 30 days to reduce storage costs.</t>
  </si>
  <si>
    <t>The breach occurred after an attacker exploited an outdated SSL certificate on the customer portal.</t>
  </si>
  <si>
    <t>An up-to-date SSL certificate prevented the attacker from accessing the customer portal.</t>
  </si>
  <si>
    <t>As of 2025, the company only permits outbound traffic from whitelisted domains to prevent data exfiltration.</t>
  </si>
  <si>
    <t>All domains are allowed for outbound connections by default under the new firewall policy.</t>
  </si>
  <si>
    <t>Geofencing restrictions block access from countries not included in the operational region.</t>
  </si>
  <si>
    <t>Remote access is allowed from any geographical location without restriction.</t>
  </si>
  <si>
    <t>The security team monitors DNS logs to identify domain generation algorithms used by malware.</t>
  </si>
  <si>
    <t>The DNS logging system helps uncover obfuscated domain activity generated by malicious software.</t>
  </si>
  <si>
    <t>All administrative actions are logged with timestamps and user identifiers for audit purposes.</t>
  </si>
  <si>
    <t>Audit trails capture who performed what administrative action and when.</t>
  </si>
  <si>
    <t>Following the breach, the organization implemented endpoint detection and response (EDR) across all workstations.</t>
  </si>
  <si>
    <t>Every employee device was equipped with software that detects and responds to threats.</t>
  </si>
  <si>
    <t>Mobile device policies prohibit the installation of unapproved third-party apps on corporate phones.</t>
  </si>
  <si>
    <t>Employees are restricted from downloading unauthorized applications on their work-issued phones.</t>
  </si>
  <si>
    <t>The company's cybersecurity framework incorporates NIST standards for risk management.</t>
  </si>
  <si>
    <t>NIST guidelines are part of the organization’s broader cybersecurity implementation plan.</t>
  </si>
  <si>
    <t>The CISO presented a new encryption strategy to the board during the Q2 meeting.</t>
  </si>
  <si>
    <t>The CIO proposed a new incident response plan to stakeholders during Q3.</t>
  </si>
  <si>
    <t>While this firm uses a custom-built firewall, others in the sector rely on commercial solutions.</t>
  </si>
  <si>
    <t>Some organizations choose open-source alternatives instead of proprietary firewalls.</t>
  </si>
  <si>
    <t>The company operates two security operations centers, one in Europe and one in Asia.</t>
  </si>
  <si>
    <t>Many global corporations use outsourced SOC services located in North America.</t>
  </si>
  <si>
    <t>The cybersecurity vendor offers penetration testing and compliance reporting as part of its services.</t>
  </si>
  <si>
    <t>The internal IT team handles patch management and hardware provisioning.</t>
  </si>
  <si>
    <t>Security policies for healthcare firms differ substantially from those in the energy sector.</t>
  </si>
  <si>
    <t>Cybersecurity protocols in financial institutions emphasize transaction monitoring.</t>
  </si>
  <si>
    <t>Access to the code repository is restricted using SSH keys that expire every 30 days.</t>
  </si>
  <si>
    <t>The repository allows persistent access tokens that never expire for developer convenience.</t>
  </si>
  <si>
    <t>The malware evaded detection because it was signed with a stolen certificate trusted by the OS.</t>
  </si>
  <si>
    <t>The malware failed to install because the operating system rejected the unsigned installer.</t>
  </si>
  <si>
    <t>System logs showed 14 failed login attempts from a foreign IP address over a ten-minute window.</t>
  </si>
  <si>
    <t>Forensics found no evidence of unauthorized login attempts from outside the country.</t>
  </si>
  <si>
    <t>The vulnerability was publicly disclosed in June 2023, and the vendor issued a patch in August 2023.</t>
  </si>
  <si>
    <t>A patch for the flaw was released in April 2023, well before any public disclosure.</t>
  </si>
  <si>
    <t>All staff are required to use company-issued YubiKeys to authenticate to internal systems.</t>
  </si>
  <si>
    <t>Employees authenticate using either biometrics or a password-only system.</t>
  </si>
  <si>
    <t>The EDR platform correlates process behavior and memory access to detect fileless malware attacks.</t>
  </si>
  <si>
    <t>The system uses runtime memory analysis and process monitoring to identify fileless threats.</t>
  </si>
  <si>
    <t>After the security incident, all administrator accounts were rotated and assigned new keys.</t>
  </si>
  <si>
    <t>Administrative credentials were changed in response to the security breach.</t>
  </si>
  <si>
    <t>The company adopted a microsegmentation approach to limit lateral movement within the network.</t>
  </si>
  <si>
    <t>Network segmentation strategies were implemented to isolate systems and prevent internal spread.</t>
  </si>
  <si>
    <t>The threat intelligence feed includes indicators of compromise sourced from government and private partners.</t>
  </si>
  <si>
    <t>Threat indicators from multiple external partners are incorporated into the detection platform.</t>
  </si>
  <si>
    <t>Cloud resources are configured with identity-based access control and least privilege enforcement.</t>
  </si>
  <si>
    <t>Access to cloud systems is limited based on user identity and job function.</t>
  </si>
  <si>
    <t>While the firm uses intrusion detection systems, its incident response capability remains underdeveloped.</t>
  </si>
  <si>
    <t>The company has a strong focus on compliance but lacks advanced penetration testing practices.</t>
  </si>
  <si>
    <t>Some cybersecurity solutions use deception technologies like honeypots to lure attackers.</t>
  </si>
  <si>
    <t>Other organizations rely on anomaly detection to spot threats rather than deception-based tools.</t>
  </si>
  <si>
    <t>The security vendor provides endpoint protection and phishing defense for small businesses.</t>
  </si>
  <si>
    <t>Managed service providers often offer firewall management and network monitoring instead.</t>
  </si>
  <si>
    <t>Public key infrastructure helps secure email communication, while DNSSEC protects domain integrity.</t>
  </si>
  <si>
    <t>SSL certificates protect web servers, and endpoint agents monitor file access.</t>
  </si>
  <si>
    <t>While the company performs quarterly vulnerability scans, it does not offer red teaming services.</t>
  </si>
  <si>
    <t>Another firm in the industry specializes in offensive security but doesn’t do compliance audits.</t>
  </si>
  <si>
    <t>The artist completed the landscape painting using only oil paints and a palette knife.</t>
  </si>
  <si>
    <t xml:space="preserve"> The landscape painting was created entirely with watercolor and brushes.</t>
  </si>
  <si>
    <t>The portrait was finished in under two hours by the experienced painter.</t>
  </si>
  <si>
    <t xml:space="preserve"> The portrait took nearly eight hours to complete.</t>
  </si>
  <si>
    <t>The gallery opened its annual painting exhibit in late October.</t>
  </si>
  <si>
    <t xml:space="preserve"> The exhibit was launched in early May.</t>
  </si>
  <si>
    <t>Applying too many layers of paint without letting them dry can cause the canvas to warp.</t>
  </si>
  <si>
    <t xml:space="preserve"> The canvas remains perfectly flat no matter how many wet layers are applied.</t>
  </si>
  <si>
    <t>The mural was painted across the eastern wall of the community center.</t>
  </si>
  <si>
    <t xml:space="preserve"> The mural was painted on the western side of the building.</t>
  </si>
  <si>
    <t>Art critics praised the piece for its subtle use of color and harmony.</t>
  </si>
  <si>
    <t xml:space="preserve"> Some critics argued that the use of color in the piece was jarring and unbalanced.</t>
  </si>
  <si>
    <t>Painters rarely choose to work outdoors during heavy rain.</t>
  </si>
  <si>
    <t xml:space="preserve"> Most painters prefer painting outside during downpours.</t>
  </si>
  <si>
    <t>A triptych is defined as a work divided into three panels.</t>
  </si>
  <si>
    <t xml:space="preserve"> A triptych is a painting made of four continuous panels.</t>
  </si>
  <si>
    <t>According to the contest rules, only acrylic paint is allowed on submissions.</t>
  </si>
  <si>
    <t xml:space="preserve"> The painting was submitted using watercolor, which is also permitted.</t>
  </si>
  <si>
    <t>One cannot simultaneously paint in both pointillism and cubism styles.</t>
  </si>
  <si>
    <t xml:space="preserve"> The artist managed to create a piece that was both cubist and pointillist at once.</t>
  </si>
  <si>
    <t>The painter applied multiple layers of glaze to increase luminosity.</t>
  </si>
  <si>
    <t xml:space="preserve"> The application of multiple glazes contributes to the depth and glow of a painting.</t>
  </si>
  <si>
    <t>The student attended a workshop on portrait painting techniques.</t>
  </si>
  <si>
    <t xml:space="preserve"> The student participated in an instructional session focused on painting human faces.</t>
  </si>
  <si>
    <t>The restoration team discovered a hidden underpainting during the infrared scan.</t>
  </si>
  <si>
    <t xml:space="preserve"> The scan revealed that there was an image beneath the top layer of paint.</t>
  </si>
  <si>
    <t>Impressionist painters often chose natural light and outdoor settings.</t>
  </si>
  <si>
    <t xml:space="preserve"> Many impressionist works depict open air scenes lit by daylight.</t>
  </si>
  <si>
    <t>The artist sketched the composition before beginning to paint.</t>
  </si>
  <si>
    <t xml:space="preserve"> Preliminary sketches were created to guide the final painting process.</t>
  </si>
  <si>
    <t>Some painters use underpainting to establish tonal values before layering color.</t>
  </si>
  <si>
    <t xml:space="preserve"> Underpainting can help create a strong tonal foundation.</t>
  </si>
  <si>
    <t>Fresco painting involves applying pigment onto freshly laid wet plaster.</t>
  </si>
  <si>
    <t xml:space="preserve"> This technique requires the paint to be absorbed by the damp plaster.</t>
  </si>
  <si>
    <t>The gallery featured works from contemporary painters born after 1980.</t>
  </si>
  <si>
    <t xml:space="preserve"> The exhibition included pieces by living artists who began painting in the 21st century.</t>
  </si>
  <si>
    <t>Painters may use masking fluid to preserve white areas on watercolor paper.</t>
  </si>
  <si>
    <t xml:space="preserve"> Masking fluid helps protect certain parts of the paper from pigment.</t>
  </si>
  <si>
    <t>The artist traveled through rural villages for inspiration but painted primarily in the studio.</t>
  </si>
  <si>
    <t xml:space="preserve"> Though influenced by travel, the actual paintings were created indoors.</t>
  </si>
  <si>
    <t>The critic admired the vivid use of blue in the seascape but questioned the composition.</t>
  </si>
  <si>
    <t xml:space="preserve"> While praising the color, the composition was seen as a weak point.</t>
  </si>
  <si>
    <t>Acrylic paint dries faster than oil paint and is often used in quick studies.</t>
  </si>
  <si>
    <t xml:space="preserve"> Oil paint is known for its slower drying time and rich blending capabilities.</t>
  </si>
  <si>
    <t>Artists experimenting with mixed media sometimes incorporate found objects.</t>
  </si>
  <si>
    <t xml:space="preserve"> Some painters explore multimedia techniques involving unconventional materials.</t>
  </si>
  <si>
    <t>The competition required participants to submit a painting no larger than 18 inches.</t>
  </si>
  <si>
    <t xml:space="preserve"> Judges evaluated both miniature and medium-sized artworks.</t>
  </si>
  <si>
    <t>The workshop introduced both classical and digital painting tools.</t>
  </si>
  <si>
    <t xml:space="preserve"> Painters were exposed to techniques used in traditional and digital formats.</t>
  </si>
  <si>
    <t>Painters might use sponges, brushes, or palette knives to create texture.</t>
  </si>
  <si>
    <t xml:space="preserve"> Various tools can contribute to different textural effects in a painting.</t>
  </si>
  <si>
    <t>The exhibition’s theme focused on urban decay, but styles ranged from realism to abstract.</t>
  </si>
  <si>
    <t xml:space="preserve"> Artists expressed the urban theme using diverse visual languages.</t>
  </si>
  <si>
    <t>Some artists prepare custom canvas sizes rather than buying standard ones.</t>
  </si>
  <si>
    <t xml:space="preserve"> There are painters who prefer pre-stretched canvases for convenience.</t>
  </si>
  <si>
    <t>The painting was inspired by mythology, though it used entirely modern materials.</t>
  </si>
  <si>
    <t xml:space="preserve"> Mythological themes were reinterpreted through a contemporary medium.</t>
  </si>
  <si>
    <t>The artist painted several seascapes during her trip to Portugal.</t>
  </si>
  <si>
    <t xml:space="preserve"> The artist has painted coastal scenes in the past.</t>
  </si>
  <si>
    <t>The critic was impressed by the exhibit's scale but said nothing about the techniques used.</t>
  </si>
  <si>
    <t xml:space="preserve"> The critic did not comment on whether the brushwork was successful.</t>
  </si>
  <si>
    <t>Some painters enjoy working in complete silence, while others prefer music.</t>
  </si>
  <si>
    <t xml:space="preserve"> A few artists paint with background noise or quiet music.</t>
  </si>
  <si>
    <t>The instructor taught a course on abstract painting.</t>
  </si>
  <si>
    <t xml:space="preserve"> The same instructor is also known for teaching sculpture.</t>
  </si>
  <si>
    <t>The painting featured bright reds and oranges.</t>
  </si>
  <si>
    <t xml:space="preserve"> The artist’s earlier works focused on monochrome palettes.</t>
  </si>
  <si>
    <t>The gallery is hosting a show on 19th-century realism.</t>
  </si>
  <si>
    <t xml:space="preserve"> The museum across town is displaying contemporary art.</t>
  </si>
  <si>
    <t>While the artist primarily uses canvas, she occasionally experiments with wood panels.</t>
  </si>
  <si>
    <t xml:space="preserve"> Her studio is filled with canvases and a few unused wooden boards.</t>
  </si>
  <si>
    <t>Painters in colder climates often have to adjust how their paints dry.</t>
  </si>
  <si>
    <t xml:space="preserve"> Sculptors in those same regions face different material challenges.</t>
  </si>
  <si>
    <t>The exhibition's centerpiece was a mural stretching ten meters.</t>
  </si>
  <si>
    <t xml:space="preserve"> The exhibit also included small sketches and studies.</t>
  </si>
  <si>
    <t>Artists sometimes reference literature in their paintings.</t>
  </si>
  <si>
    <t xml:space="preserve"> Some musicians incorporate painting into their live performances.</t>
  </si>
  <si>
    <t>The painting was completed in 1872 and is housed in the Musée d'Orsay.</t>
  </si>
  <si>
    <t xml:space="preserve"> The painting was created in 1903 and is displayed in the Prado Museum.</t>
  </si>
  <si>
    <t>The artist never used synthetic pigments in his entire career.</t>
  </si>
  <si>
    <t xml:space="preserve"> His most famous pieces relied heavily on synthetic ultramarine.</t>
  </si>
  <si>
    <t>This abstract piece features sharp, geometric shapes and a cold color palette.</t>
  </si>
  <si>
    <t xml:space="preserve"> The abstract painting is composed of soft curves and warm, inviting colors.</t>
  </si>
  <si>
    <t>Only ten paintings were accepted into the juried show.</t>
  </si>
  <si>
    <t xml:space="preserve"> Over fifty artworks were selected for inclusion in the exhibition.</t>
  </si>
  <si>
    <t>Using water-based paint on untreated wood can cause warping.</t>
  </si>
  <si>
    <t xml:space="preserve"> Applying water-based paint to bare wood improves its durability.</t>
  </si>
  <si>
    <t>The focal point of the piece is located in the upper left quadrant.</t>
  </si>
  <si>
    <t xml:space="preserve"> The painting draws the viewer’s eye to the lower right corner.</t>
  </si>
  <si>
    <t>The critic declared the composition to be chaotic and incoherent.</t>
  </si>
  <si>
    <t xml:space="preserve"> A leading reviewer described the same work as orderly and balanced.</t>
  </si>
  <si>
    <t>Few artists choose to paint with natural dyes due to their rarity.</t>
  </si>
  <si>
    <t xml:space="preserve"> Most painters rely on natural dyes as their primary pigments.</t>
  </si>
  <si>
    <t>An impasto technique involves thickly layering the paint for texture.</t>
  </si>
  <si>
    <t xml:space="preserve"> Impasto painting is a method that requires smooth, thin applications.</t>
  </si>
  <si>
    <t>No two paintings in the series share the same background or subject.</t>
  </si>
  <si>
    <t xml:space="preserve"> Each painting in the collection features identical scenes.</t>
  </si>
  <si>
    <t>The fresco was sealed quickly to prevent moisture damage.</t>
  </si>
  <si>
    <t xml:space="preserve"> Frescoes are commonly protected by applying sealant shortly after painting.</t>
  </si>
  <si>
    <t>During the Baroque era, artists emphasized dramatic lighting and realism.</t>
  </si>
  <si>
    <t xml:space="preserve"> Paintings from the Baroque period often display intense shadows and lifelike figures.</t>
  </si>
  <si>
    <t>The painter deliberately chose muted tones to convey melancholy.</t>
  </si>
  <si>
    <t xml:space="preserve"> The somber color choices were intended to evoke sadness.</t>
  </si>
  <si>
    <t>The artist used egg tempera to achieve fine detail and rapid drying.</t>
  </si>
  <si>
    <t xml:space="preserve"> Egg tempera is known for its precision and fast-drying properties.</t>
  </si>
  <si>
    <t>Each brushstroke was intentional and carefully applied to control texture.</t>
  </si>
  <si>
    <t xml:space="preserve"> The texture of the painting results from deliberate brushwork.</t>
  </si>
  <si>
    <t>Painters often tone their canvases before starting to neutralize white.</t>
  </si>
  <si>
    <t xml:space="preserve"> Toning the canvas helps control value and contrast in the early stages.</t>
  </si>
  <si>
    <t>The self-portrait reveals signs of aging and introspection.</t>
  </si>
  <si>
    <t xml:space="preserve"> The artist’s depiction of himself captures a contemplative and aged expression.</t>
  </si>
  <si>
    <t>Painters working in plein air need to account for shifting natural light.</t>
  </si>
  <si>
    <t xml:space="preserve"> Changes in outdoor lighting affect how colors appear in plein air paintings.</t>
  </si>
  <si>
    <t>The piece was executed in the alla prima technique, completed in one sitting.</t>
  </si>
  <si>
    <t xml:space="preserve"> The painting was created wet-on-wet and finished in a single session.</t>
  </si>
  <si>
    <t>The artist painted four versions of the same scene across different seasons.</t>
  </si>
  <si>
    <t xml:space="preserve"> The series captures how a single subject transforms with seasonal change.</t>
  </si>
  <si>
    <t>The painter explored new color schemes in this latest series.</t>
  </si>
  <si>
    <t xml:space="preserve"> She used color in more experimental ways than in previous work.</t>
  </si>
  <si>
    <t>The gallery featured works by emerging artists.</t>
  </si>
  <si>
    <t xml:space="preserve"> None of the featured painters had international recognition.</t>
  </si>
  <si>
    <t>Some painters incorporate metallic leaf into their canvases.</t>
  </si>
  <si>
    <t xml:space="preserve"> Gold leaf is more commonly associated with religious icons than modern art.</t>
  </si>
  <si>
    <t>The artist’s earlier works were figurative, but her recent pieces are abstract.</t>
  </si>
  <si>
    <t xml:space="preserve"> The painter’s style has evolved over time.</t>
  </si>
  <si>
    <t>Acrylics dry quickly, unlike oils.</t>
  </si>
  <si>
    <t xml:space="preserve"> Drying times vary between paint types.</t>
  </si>
  <si>
    <t>Painters often title their work after completion.</t>
  </si>
  <si>
    <t xml:space="preserve"> Some artists never title their pieces at all.</t>
  </si>
  <si>
    <t>He paints in a shared studio downtown.</t>
  </si>
  <si>
    <t xml:space="preserve"> His exhibitions are usually held in private galleries uptown.</t>
  </si>
  <si>
    <t>The artist is known for political commentary in her paintings.</t>
  </si>
  <si>
    <t xml:space="preserve"> Her themes often focus on environmental and social justice.</t>
  </si>
  <si>
    <t>Paintings in the collection range from realistic to surreal.</t>
  </si>
  <si>
    <t xml:space="preserve"> The exhibit does not focus on a single artistic movement.</t>
  </si>
  <si>
    <t>She prefers to paint birds and coastal scenery.</t>
  </si>
  <si>
    <t xml:space="preserve"> Her husband focuses on urban landscapes.</t>
  </si>
  <si>
    <t>The artist completed a ten-foot-wide landscape using only oil paints.</t>
  </si>
  <si>
    <t xml:space="preserve"> The final piece was created with tempera on a wooden panel.</t>
  </si>
  <si>
    <t>The competition accepted only three entries per artist.</t>
  </si>
  <si>
    <t xml:space="preserve"> Each artist was allowed to submit up to five paintings.</t>
  </si>
  <si>
    <t>The painting was created in 1624 during the Dutch Golden Age.</t>
  </si>
  <si>
    <t xml:space="preserve"> The piece was painted in 1750, decades after the Dutch Golden Age ended.</t>
  </si>
  <si>
    <t>Using solvent-based varnish helps preserve oil paintings from UV damage.</t>
  </si>
  <si>
    <t xml:space="preserve"> Solvent-based varnish actually accelerates paint deterioration.</t>
  </si>
  <si>
    <t>The mural wraps around the northern wall of the auditorium.</t>
  </si>
  <si>
    <t xml:space="preserve"> The mural is located solely on the southern interior wall.</t>
  </si>
  <si>
    <t>The critic praised the artist's bold color choices and energetic lines.</t>
  </si>
  <si>
    <t xml:space="preserve"> The critic described the painting as dull and overly restrained.</t>
  </si>
  <si>
    <t>Painters seldom risk transporting wet canvases between locations.</t>
  </si>
  <si>
    <t xml:space="preserve"> Many painters routinely move freshly painted works to other studios.</t>
  </si>
  <si>
    <t>A grisaille is defined as a painting done entirely in shades of gray.</t>
  </si>
  <si>
    <t xml:space="preserve"> A grisaille refers to a vibrant, full-color landscape.</t>
  </si>
  <si>
    <t>The contest rules prohibit digital submissions.</t>
  </si>
  <si>
    <t xml:space="preserve"> Digital paintings are fully accepted under the contest's rules.</t>
  </si>
  <si>
    <t>A painting cannot be both monochromatic and polychromatic at the same time.</t>
  </si>
  <si>
    <t xml:space="preserve"> The piece simultaneously uses a single hue and a full range of colors.</t>
  </si>
  <si>
    <t>The artist sketched multiple drafts before beginning the final portrait.</t>
  </si>
  <si>
    <t xml:space="preserve"> The painter created preliminary outlines to plan the composition.</t>
  </si>
  <si>
    <t>The piece features layered glazes to achieve a luminous surface.</t>
  </si>
  <si>
    <t xml:space="preserve"> Multiple transparent layers were applied to create depth and light effects.</t>
  </si>
  <si>
    <t>Renaissance painters often employed linear perspective.</t>
  </si>
  <si>
    <t xml:space="preserve"> The use of perspective was a hallmark of Renaissance art.</t>
  </si>
  <si>
    <t>The canvas was toned with a warm underlayer to affect color temperature.</t>
  </si>
  <si>
    <t xml:space="preserve"> The initial ground layer altered how subsequent colors appeared.</t>
  </si>
  <si>
    <t>The mural was painted directly onto wet plaster using the fresco technique.</t>
  </si>
  <si>
    <t xml:space="preserve"> Fresco involves pigment application on freshly laid plaster.</t>
  </si>
  <si>
    <t>She studied the anatomy of hands to improve realism in her figure work.</t>
  </si>
  <si>
    <t xml:space="preserve"> Her studies of hand structure enhanced the realism in her portraits.</t>
  </si>
  <si>
    <t>The artist used a limited palette of earth tones.</t>
  </si>
  <si>
    <t xml:space="preserve"> The painter chose only muted browns and ochres for this piece.</t>
  </si>
  <si>
    <t>Underpainting helps guide value structure in complex compositions.</t>
  </si>
  <si>
    <t xml:space="preserve"> A tonal foundation was laid down before adding color layers.</t>
  </si>
  <si>
    <t>The piece reflects influences from both surrealism and post-impressionism.</t>
  </si>
  <si>
    <t xml:space="preserve"> The work blends elements from two different art movements.</t>
  </si>
  <si>
    <t>The museum acquired the artist's 2021 painting for its permanent collection.</t>
  </si>
  <si>
    <t xml:space="preserve"> The artist's recent work was purchased by a major institution.</t>
  </si>
  <si>
    <t>The painter worked on the series during winter but didn’t finish until spring.</t>
  </si>
  <si>
    <t xml:space="preserve"> The series was completed in the spring.</t>
  </si>
  <si>
    <t>The exhibit includes several large-scale canvases.</t>
  </si>
  <si>
    <t xml:space="preserve"> The same gallery recently displayed a show of miniature etchings.</t>
  </si>
  <si>
    <t>He typically paints at night under artificial light.</t>
  </si>
  <si>
    <t xml:space="preserve"> She prefers painting outdoors during early morning.</t>
  </si>
  <si>
    <t>Some artists mix pigments with unusual materials like coffee grounds.</t>
  </si>
  <si>
    <t xml:space="preserve"> Others experiment with scented oils or embedded string.</t>
  </si>
  <si>
    <t>The artist held a workshop on mural techniques.</t>
  </si>
  <si>
    <t xml:space="preserve"> Another instructor taught a session on watercolor resist.</t>
  </si>
  <si>
    <t>A painter in Italy recreated scenes from historical tapestries.</t>
  </si>
  <si>
    <t xml:space="preserve"> A sculptor in India cast metal figures from local mythology.</t>
  </si>
  <si>
    <t>The studio was filled with tools, sketches, and half-finished paintings.</t>
  </si>
  <si>
    <t xml:space="preserve"> The adjoining room housed a kiln used for ceramics.</t>
  </si>
  <si>
    <t>Her newest works focus on abstract shapes.</t>
  </si>
  <si>
    <t xml:space="preserve"> His latest projects explore urban photography.</t>
  </si>
  <si>
    <t>This year’s painting symposium focused on sustainable materials.</t>
  </si>
  <si>
    <t xml:space="preserve"> Last year’s event emphasized restoration and conservation.</t>
  </si>
  <si>
    <t>The exhibition opened with a speech by the curator.</t>
  </si>
  <si>
    <t xml:space="preserve"> The museum director closed the show with a panel discussion.</t>
  </si>
  <si>
    <t>The piece was painted using natural pigments sourced from local minerals.</t>
  </si>
  <si>
    <t xml:space="preserve"> The artist used exclusively synthetic dyes for this particular work.</t>
  </si>
  <si>
    <t>The exhibit was originally scheduled to open in March but was postponed until July.</t>
  </si>
  <si>
    <t xml:space="preserve"> The painting exhibition opened right on time in early March.</t>
  </si>
  <si>
    <t>The artist completed the mural in three consecutive days.</t>
  </si>
  <si>
    <t xml:space="preserve"> The mural took nearly a month to finish due to weather delays.</t>
  </si>
  <si>
    <t>Mixing turpentine with oil paint can thin the consistency.</t>
  </si>
  <si>
    <t xml:space="preserve"> Adding turpentine to oil paint makes the mixture thicker and harder to spread.</t>
  </si>
  <si>
    <t>The main figure in the painting is positioned in the lower-left corner.</t>
  </si>
  <si>
    <t xml:space="preserve"> The central subject is placed prominently in the upper-right quadrant.</t>
  </si>
  <si>
    <t>Reviewers described the work as lifeless and lacking in emotion.</t>
  </si>
  <si>
    <t xml:space="preserve"> Critics hailed the piece for its raw, emotive intensity.</t>
  </si>
  <si>
    <t>It is uncommon for plein air painters to work in complete darkness.</t>
  </si>
  <si>
    <t xml:space="preserve"> Many plein air artists prefer to paint after sunset in low light.</t>
  </si>
  <si>
    <t>A diptych refers to a two-panel painting often hinged together.</t>
  </si>
  <si>
    <t xml:space="preserve"> A diptych is a single unbroken canvas with no panels.</t>
  </si>
  <si>
    <t>The artist followed the contest rules by submitting only original pieces.</t>
  </si>
  <si>
    <t xml:space="preserve"> The artist submitted a replica of an earlier work, which was against the rules.</t>
  </si>
  <si>
    <t>An image cannot be both photorealistic and completely abstract.</t>
  </si>
  <si>
    <t xml:space="preserve"> The same painting manages to be both a detailed copy of life and entirely abstract.</t>
  </si>
  <si>
    <t>The artist created multiple preliminary sketches before starting the oil portrait.</t>
  </si>
  <si>
    <t xml:space="preserve"> Several preparatory drawings were made in advance of the final painting.</t>
  </si>
  <si>
    <t>The layers of transparent glaze softened the edges of the composition.</t>
  </si>
  <si>
    <t xml:space="preserve"> The glazes created a smooth transition between light and shadow.</t>
  </si>
  <si>
    <t>The Renaissance painter used chiaroscuro to model depth.</t>
  </si>
  <si>
    <t xml:space="preserve"> Shading was used to create a dramatic sense of three-dimensional form.</t>
  </si>
  <si>
    <t>Pigment particles suspended in oil allow for slow blending.</t>
  </si>
  <si>
    <t xml:space="preserve"> The slow drying of oil paint enables smoother transitions between hues.</t>
  </si>
  <si>
    <t>Fresco artists must work quickly before the plaster dries.</t>
  </si>
  <si>
    <t xml:space="preserve"> The technique demands speed because the surface sets rapidly.</t>
  </si>
  <si>
    <t>She painted daily for months to complete the enormous triptych.</t>
  </si>
  <si>
    <t xml:space="preserve"> The large piece required sustained effort over an extended period.</t>
  </si>
  <si>
    <t>The canvas was primed with gesso before painting began.</t>
  </si>
  <si>
    <t xml:space="preserve"> A preparatory layer was applied to the surface prior to paint application.</t>
  </si>
  <si>
    <t>The exhibition displays works from the artist's early and late periods.</t>
  </si>
  <si>
    <t xml:space="preserve"> The gallery includes paintings from multiple stages of the artist’s career.</t>
  </si>
  <si>
    <t>Color theory plays a central role in the artist’s compositions.</t>
  </si>
  <si>
    <t xml:space="preserve"> The artist relies heavily on relationships between hues and contrasts.</t>
  </si>
  <si>
    <t>The painting’s reflective varnish was applied last to protect the surface.</t>
  </si>
  <si>
    <t xml:space="preserve"> A finishing coat was used to shield the artwork from dust and light.</t>
  </si>
  <si>
    <t>The artist displayed her works in a converted warehouse.</t>
  </si>
  <si>
    <t xml:space="preserve"> The building once functioned as a textile mill.</t>
  </si>
  <si>
    <t>His abstract style contrasts sharply with his brother’s photorealistic portraits.</t>
  </si>
  <si>
    <t xml:space="preserve"> His cousin prefers to work in miniature landscapes.</t>
  </si>
  <si>
    <t>The piece was inspired by a walk in the forest.</t>
  </si>
  <si>
    <t xml:space="preserve"> Another work in the series was based on a trip to the desert.</t>
  </si>
  <si>
    <t>He attended an art residency in Japan.</t>
  </si>
  <si>
    <t xml:space="preserve"> She studied traditional printmaking in Sweden.</t>
  </si>
  <si>
    <t>Painters often travel for inspiration.</t>
  </si>
  <si>
    <t xml:space="preserve"> Some prefer to remain close to their local studios.</t>
  </si>
  <si>
    <t>The artist’s studio overlooks a lake.</t>
  </si>
  <si>
    <t xml:space="preserve"> Her gallery is located in a downtown shopping district.</t>
  </si>
  <si>
    <t>The curator arranged the paintings by color.</t>
  </si>
  <si>
    <t xml:space="preserve"> In a previous show, the works were grouped by medium.</t>
  </si>
  <si>
    <t>The brush used in the final detail work was less than a centimeter wide.</t>
  </si>
  <si>
    <t xml:space="preserve"> The same artist once used only sponges for an entire project.</t>
  </si>
  <si>
    <t>Several paintings were stolen from the collection in 1998.</t>
  </si>
  <si>
    <t xml:space="preserve"> The security system was upgraded in 2005.</t>
  </si>
  <si>
    <t>She paints marine life on reclaimed wooden panels.</t>
  </si>
  <si>
    <t xml:space="preserve"> He sculpts aquatic animals out of scrap metal.</t>
  </si>
  <si>
    <t>The city council implemented a 9 PM curfew to reduce nighttime crime in high-risk neighborhoods.</t>
  </si>
  <si>
    <t>The city council enforced a curfew starting at midnight to prevent disturbances.</t>
  </si>
  <si>
    <t>Firefighters were deployed to the northern edge of the forest where the blaze was rapidly advancing.</t>
  </si>
  <si>
    <t>Firefighters focused their efforts on the southern perimeter of the forest to contain the spreading fire.</t>
  </si>
  <si>
    <t>The newly installed surveillance system is capable of real-time facial recognition across the transit network.</t>
  </si>
  <si>
    <t>The newly installed surveillance system only stores footage for review and lacks facial recognition features.</t>
  </si>
  <si>
    <t>Studies have shown that community-based policing significantly improves trust between residents and officers.</t>
  </si>
  <si>
    <t>Research indicates that community-based policing plays a critical role in building relationships between law enforcement and the public.</t>
  </si>
  <si>
    <t>The pedestrian safety initiative includes new crosswalks, increased signage, and extended walk times at intersections.</t>
  </si>
  <si>
    <t>The pedestrian safety program involves adding bike lanes and redesigning bus stops for better visibility.</t>
  </si>
  <si>
    <t>During the chemical spill, emergency responders evacuated residents within a one-mile radius of the plant.</t>
  </si>
  <si>
    <t>Emergency responders cleared a three-mile zone surrounding the chemical plant after the incident.</t>
  </si>
  <si>
    <t>Contradicting</t>
  </si>
  <si>
    <t>The National Weather Service issued tornado warnings in the area at 2 PM after detecting rotation on radar.</t>
  </si>
  <si>
    <t>Tornado warnings were issued at 4 PM after debris was spotted by emergency crews on the ground.</t>
  </si>
  <si>
    <t>The city's disaster preparedness drill simulated a major earthquake and involved over 2,000 participants.</t>
  </si>
  <si>
    <t>The disaster simulation focused on a flood scenario and required residents to practice evacuation by boat.</t>
  </si>
  <si>
    <t>The fire marshal reported that the blaze began due to faulty electrical wiring inside the attic.</t>
  </si>
  <si>
    <t>Investigators concluded the fire started from an unattended candle left burning on the ground floor.</t>
  </si>
  <si>
    <t>Authorities mandated seatbelt use for all front and rear passengers to reduce injury risks in car accidents.</t>
  </si>
  <si>
    <t>Authorities recommended seatbelt use only for front seat passengers to encourage voluntary compliance.</t>
  </si>
  <si>
    <t>The new public alert system broadcasts emergency notifications via mobile devices, radio, and digital billboards.</t>
  </si>
  <si>
    <t>The public alert system provides real-time warnings on multiple platforms to ensure residents are informed promptly.</t>
  </si>
  <si>
    <t>Although not common, it is possible for a tsunami to occur without a preceding earthquake if there is a large underwater landslide.</t>
  </si>
  <si>
    <t>Tsunamis are always caused by undersea earthquakes, making them predictable with seismic readings.</t>
  </si>
  <si>
    <t>Local schools implemented lockdown drills twice a semester to ensure students and staff are prepared for intruder scenarios.</t>
  </si>
  <si>
    <t>Lockdown drills were carried out once a semester in local schools as part of broader safety training.</t>
  </si>
  <si>
    <t>Many public health officials argue that mandating masks during flu season would reduce viral spread in dense urban areas.</t>
  </si>
  <si>
    <t>Several experts contend that mask mandates are unnecessary and infringe on personal freedoms.</t>
  </si>
  <si>
    <t>It is unlikely that the bridge collapse was due to routine wear and tear given the recent inspection reports.</t>
  </si>
  <si>
    <t>It is highly probable that the structural failure resulted from long-term corrosion that went unnoticed.</t>
  </si>
  <si>
    <t>The fire alarm system in the high-rise apartment is tested monthly to comply with municipal safety codes.</t>
  </si>
  <si>
    <t>The fire alarm system undergoes a routine test once every three months as required by local regulations.</t>
  </si>
  <si>
    <t>Emergency shelters across the region have been equipped with solar-powered backup systems to maintain services during blackouts.</t>
  </si>
  <si>
    <t>Emergency shelters have received upgrades, including improved sanitation facilities and expanded sleeping capacity.</t>
  </si>
  <si>
    <t>The hazardous materials team used chemical absorbents to neutralize the spill before it reached the nearby stream.</t>
  </si>
  <si>
    <t>To prevent contamination, the hazmat team quickly built a containment berm around the leak site.</t>
  </si>
  <si>
    <t>Surveillance footage showed that the individual entered the restricted area after 11 PM without proper credentials.</t>
  </si>
  <si>
    <t>The security logs confirmed unauthorized access to the secure zone occurred during the early morning hours.</t>
  </si>
  <si>
    <t>Aviation safety regulations require all commercial pilots to complete simulator training every six months.</t>
  </si>
  <si>
    <t>Commercial pilot licensing guidelines recommend annual simulator training to maintain proficiency.</t>
  </si>
  <si>
    <t>The city’s flood mitigation strategy includes elevating roads and installing permeable pavement in low-lying areas.</t>
  </si>
  <si>
    <t>The flood prevention plan focuses entirely on building levees along the riverbanks.</t>
  </si>
  <si>
    <t>The Department of Transportation reported that installing roundabouts at high-traffic intersections reduced collisions by 37%.</t>
  </si>
  <si>
    <t>The Department of Transportation noted a 60% increase in intersection collisions following the installation of roundabouts.</t>
  </si>
  <si>
    <t>A malfunctioning carbon monoxide detector in the hotel room failed to alert guests before toxic levels were reached.</t>
  </si>
  <si>
    <t>The carbon monoxide detector in the hotel room functioned properly and alerted guests before levels became hazardous.</t>
  </si>
  <si>
    <t>Following a surge in bike-related accidents, the city required cyclists to wear reflective vests at all times after dusk.</t>
  </si>
  <si>
    <t>Cyclists are only advised—but not required—to wear reflective gear during nighttime rides.</t>
  </si>
  <si>
    <t>The public health advisory was lifted once air quality levels returned to a safe threshold after the wildfire.</t>
  </si>
  <si>
    <t>The advisory remained in effect even though air quality had improved significantly since the fire was contained.</t>
  </si>
  <si>
    <t>The safety inspector concluded that the building collapsed due to foundational erosion caused by a leaking main water pipe.</t>
  </si>
  <si>
    <t>Investigators determined the building's collapse resulted from seismic tremors unrelated to plumbing infrastructure.</t>
  </si>
  <si>
    <t>Public safety officers regularly patrol the downtown corridor during large events to ensure crowd control and deter crime.</t>
  </si>
  <si>
    <t>During major downtown events, law enforcement shifts resources to neighboring districts to respond to anticipated disturbances.</t>
  </si>
  <si>
    <t>The fire code specifies that all commercial kitchens must install automatic fire suppression systems above cooking surfaces.</t>
  </si>
  <si>
    <t>All commercial kitchen fire suppression systems must be manually activated according to the revised fire code.</t>
  </si>
  <si>
    <t>An active shooter drill at the municipal building included simulated lockdowns, evacuations, and rapid response coordination.</t>
  </si>
  <si>
    <t>The training session at the municipal building focused on fire escape protocols and emergency ladder use.</t>
  </si>
  <si>
    <t>It is highly unlikely that the structural cracks will widen within the next five years based on engineering assessments.</t>
  </si>
  <si>
    <t>Engineers warned that the structural cracks are almost certain to expand significantly within two years.</t>
  </si>
  <si>
    <t>A statewide Amber Alert was issued within fifteen minutes of the child’s abduction report.</t>
  </si>
  <si>
    <t>Officials delayed the issuance of the Amber Alert until the next morning due to verification procedures.</t>
  </si>
  <si>
    <t>The new highway patrol units are equipped with radar, dash cams, and automated license plate recognition systems.</t>
  </si>
  <si>
    <t>The newly deployed patrol vehicles are not yet fitted with any high-tech equipment due to budget constraints.</t>
  </si>
  <si>
    <t>The city council unanimously voted to install additional lighting in alleyways to reduce nighttime assaults.</t>
  </si>
  <si>
    <t>The council remained divided over whether increased alleyway lighting actually reduces the risk of nighttime crimes.</t>
  </si>
  <si>
    <t>The health department launched a summer campaign to distribute free hydration kits and raise awareness about heatstroke.</t>
  </si>
  <si>
    <t>The campaign initiated by the health department aims to inform the public about tick-borne illnesses prevalent in summer.</t>
  </si>
  <si>
    <t>The shelter-in-place order remained in effect until all chemical fumes from the overturned tanker had dissipated.</t>
  </si>
  <si>
    <t>The authorities maintained the shelter-in-place order until hazardous materials crews had inspected the site.</t>
  </si>
  <si>
    <t>Local volunteers received Red Cross training in basic triage, CPR, and emergency communication techniques.</t>
  </si>
  <si>
    <t>Red Cross training for local volunteers covered first-aid fundamentals and disaster communication planning.</t>
  </si>
  <si>
    <t>Due to increased wildfire risk, authorities banned all outdoor open flames, including campfires and fireworks.</t>
  </si>
  <si>
    <t>Authorities issued a burn advisory encouraging caution but stopped short of banning campfires and fireworks.</t>
  </si>
  <si>
    <t>City officials attributed the rapid spread of the warehouse fire to improper storage of flammable materials.</t>
  </si>
  <si>
    <t>Investigators found that the fire spread rapidly due to delayed emergency response times, not material storage.</t>
  </si>
  <si>
    <t>The emergency preparedness kits include a flashlight, radio, first-aid supplies, and three days of non-perishable food.</t>
  </si>
  <si>
    <t>Each emergency kit also contains face masks, water purification tablets, and a whistle for signaling.</t>
  </si>
  <si>
    <t>Law enforcement officials agree that greater community engagement helps prevent violent crime in underserved neighborhoods.</t>
  </si>
  <si>
    <t>Community policing strategies are widely believed to strengthen trust and reduce tensions between residents and officers.</t>
  </si>
  <si>
    <t>The building was evacuated after sensors detected high levels of carbon monoxide.</t>
  </si>
  <si>
    <t>The building remained occupied because no hazardous gas was detected.</t>
  </si>
  <si>
    <t>Fire department regulations require all exit doors in public buildings to open outward.</t>
  </si>
  <si>
    <t>The fire code mandates that exit doors in public buildings must open inward.</t>
  </si>
  <si>
    <t>The emergency sirens were activated at 6:45 AM when the tornado warning was issued.</t>
  </si>
  <si>
    <t>No warning sirens sounded until after 7:30 AM despite early detection of the tornado.</t>
  </si>
  <si>
    <t>Authorities believe the power outage was caused by fallen tree branches during the storm.</t>
  </si>
  <si>
    <t>Investigators concluded the power failure was due to equipment malfunction inside the substation.</t>
  </si>
  <si>
    <t>The flood barriers were installed along the southern banks of the river to protect the industrial zone.</t>
  </si>
  <si>
    <t>Flood defenses were only placed along the northern banks, leaving the industrial zone exposed.</t>
  </si>
  <si>
    <t>Public health officials claim that mask-wearing significantly reduces the spread of airborne viruses.</t>
  </si>
  <si>
    <t>Some experts argue that mask-wearing has no measurable effect on airborne virus transmission.</t>
  </si>
  <si>
    <t>The new building codes require fire-resistant materials to be used in all residential roofing.</t>
  </si>
  <si>
    <t>The revised construction guidelines mandate the use of fire-resistant roofing materials in homes.</t>
  </si>
  <si>
    <t>To improve safety, the city added speed bumps near schools and increased crossing guard staffing.</t>
  </si>
  <si>
    <t>The municipality implemented additional speed control measures and personnel to protect children near schools.</t>
  </si>
  <si>
    <t>First responders practiced coordinating helicopter rescues as part of the emergency drill.</t>
  </si>
  <si>
    <t>Emergency drills included simulations of aerial extractions carried out by rescue teams.</t>
  </si>
  <si>
    <t>Security personnel checked every attendee’s bag at the entrance to prevent prohibited items from entering.</t>
  </si>
  <si>
    <t>Guards inspected all bags thoroughly to ensure no banned objects were brought into the venue.</t>
  </si>
  <si>
    <t>The public health campaign emphasized the importance of hand hygiene and vaccine access during flu season.</t>
  </si>
  <si>
    <t>The outreach program promoted regular handwashing and immunization to reduce flu transmission.</t>
  </si>
  <si>
    <t>A team of volunteers was dispatched to distribute blankets and food supplies to the evacuated neighborhood.</t>
  </si>
  <si>
    <t>Relief workers were sent to deliver essentials such as blankets and food to those who had been displaced.</t>
  </si>
  <si>
    <t>The campaign to reduce drunk driving included advertisements and roadside sobriety checks.</t>
  </si>
  <si>
    <t>The anti-vaping initiative focused on middle school outreach and online education.</t>
  </si>
  <si>
    <t>The evacuation plan addressed potential hazards from chemical leaks, while the training module focused on earthquake preparedness.</t>
  </si>
  <si>
    <t>The training module emphasized seismic response protocols, unlike the chemical-focused evacuation procedure.</t>
  </si>
  <si>
    <t>The city expanded its bike lane network, while emergency services improved ambulance dispatch times.</t>
  </si>
  <si>
    <t>While the city worked on cycling infrastructure, emergency responders focused on optimizing dispatch protocols.</t>
  </si>
  <si>
    <t>After the hurricane, rebuilding efforts concentrated on restoring the electrical grid, but officials also began improving flood defenses.</t>
  </si>
  <si>
    <t>Post-hurricane efforts prioritized utility repairs, though there was concurrent planning for better flood protection.</t>
  </si>
  <si>
    <t>One initiative distributed free smoke detectors, whereas another focused on replacing old traffic lights.</t>
  </si>
  <si>
    <t>Fire safety and transportation upgrades were tackled by separate city programs.</t>
  </si>
  <si>
    <t>The emergency response unit was praised for its earthquake preparedness, while the medical corps focused on heatwave response.</t>
  </si>
  <si>
    <t>Different branches of the public safety department addressed unique natural disaster scenarios.</t>
  </si>
  <si>
    <t>The city issued a shelter-in-place order after hazardous fumes were detected near the rail yard.</t>
  </si>
  <si>
    <t>Officials stated there was no need for evacuation as the fumes posed no immediate threat to public health.</t>
  </si>
  <si>
    <t>The crowd control barriers were set up along the eastern side of the stadium to manage the flow of foot traffic.</t>
  </si>
  <si>
    <t>Security teams placed barriers along the western perimeter to prevent unauthorized vehicle access.</t>
  </si>
  <si>
    <t>An investigation found that the explosion was caused by a gas leak in the building’s basement.</t>
  </si>
  <si>
    <t>Investigators determined that faulty electrical wiring in the attic was responsible for the explosion.</t>
  </si>
  <si>
    <t>New regulations require all high-rise buildings to conduct monthly fire drills for occupants.</t>
  </si>
  <si>
    <t>The revised safety code mandates quarterly fire drills in all high-rise buildings.</t>
  </si>
  <si>
    <t>Emergency sirens were triggered at 5:20 PM to alert residents of an incoming flash flood.</t>
  </si>
  <si>
    <t>Authorities reported that no sirens were activated prior to the flood due to a communications failure.</t>
  </si>
  <si>
    <t>The National Safety Council reported a 15% drop in construction site injuries last year.</t>
  </si>
  <si>
    <t>The same agency documented a 22% rise in construction site injuries over the same period.</t>
  </si>
  <si>
    <t>The emergency training included CPR certification, evacuation procedures, and first responder coordination.</t>
  </si>
  <si>
    <t>Participants practiced emergency evacuations, CPR, and how to coordinate with first responders.</t>
  </si>
  <si>
    <t>Police used a combination of aerial surveillance and ground patrols to monitor the protest.</t>
  </si>
  <si>
    <t>Drones and foot patrols were deployed by police to observe the demonstration.</t>
  </si>
  <si>
    <t>In the event of an earthquake, residents are advised to shelter under sturdy furniture and stay indoors.</t>
  </si>
  <si>
    <t>Earthquake preparedness guidelines instruct residents to find cover and avoid windows during tremors.</t>
  </si>
  <si>
    <t>All schools in the county have implemented visitor ID checks and locked entry systems for security.</t>
  </si>
  <si>
    <t>As part of new safety policies, schools now restrict access with locked doors and mandatory ID checks for guests.</t>
  </si>
  <si>
    <t>The fire chief emphasized that dry brush near power lines must be cleared to reduce wildfire risk.</t>
  </si>
  <si>
    <t>Clearing vegetation around electrical infrastructure is key to minimizing the threat of wildfires, according to the fire chief.</t>
  </si>
  <si>
    <t>The new early-warning system sends push alerts to residents’ phones when extreme weather is detected.</t>
  </si>
  <si>
    <t>Residents receive mobile notifications as part of the city’s updated early-warning system during weather emergencies.</t>
  </si>
  <si>
    <t>The city expanded its emergency hotline services, while neighboring towns increased their reliance on community responders.</t>
  </si>
  <si>
    <t>Emergency response strategies varied, with one region upgrading hotlines and another focusing on local volunteer training.</t>
  </si>
  <si>
    <t>Police introduced mounted patrols downtown, whereas the fire department emphasized faster ladder truck deployment.</t>
  </si>
  <si>
    <t>While one department improved mobility on foot, another prioritized faster vehicle-based response.</t>
  </si>
  <si>
    <t>The public awareness campaign focused on preventing home fires, whereas the training course addressed electrical hazards in office buildings.</t>
  </si>
  <si>
    <t>The outreach campaign and the safety course targeted different environments and risks.</t>
  </si>
  <si>
    <t>One safety proposal suggested replacing streetlights with brighter LEDs, while another emphasized increased crosswalk signage.</t>
  </si>
  <si>
    <t>The proposals addressed different aspects of pedestrian safety—lighting and visibility signage.</t>
  </si>
  <si>
    <t>A study evaluated safety drills in factories, while another analyzed evacuation plans in high-rise office buildings.</t>
  </si>
  <si>
    <t>Both studies investigated safety protocols, but focused on very different types of facilities.</t>
  </si>
  <si>
    <t>The city’s new warning sirens were tested during the morning, whereas suburban sirens underwent testing in the evening.</t>
  </si>
  <si>
    <t>Testing schedules differed between city and suburban areas, though both were part of routine maintenance.</t>
  </si>
  <si>
    <t>The fire marshal concluded the blaze started in the basement due to an overloaded circuit.</t>
  </si>
  <si>
    <t>Investigators reported the fire began on the top floor and was caused by unattended candles.</t>
  </si>
  <si>
    <t>The mayor announced a citywide curfew starting at 10 PM to prevent civil unrest.</t>
  </si>
  <si>
    <t>Officials confirmed there would be no curfew imposed unless further violence erupted.</t>
  </si>
  <si>
    <t>Traffic fatalities decreased by 18% after new speed limits were enforced in school zones.</t>
  </si>
  <si>
    <t>The transportation department reported a 12% increase in speed-related deaths near schools.</t>
  </si>
  <si>
    <t>City regulations prohibit the storage of propane tanks within 20 feet of any doorway.</t>
  </si>
  <si>
    <t>The new ordinance allows propane tanks to be stored within 10 feet of building entrances.</t>
  </si>
  <si>
    <t>The health department stated the contamination was due to industrial runoff during last weekend's storm.</t>
  </si>
  <si>
    <t>Officials ruled out runoff and attributed the contamination to aging underground pipes.</t>
  </si>
  <si>
    <t>All outdoor events were canceled on Sunday due to hazardous air quality levels.</t>
  </si>
  <si>
    <t>Outdoor concerts and gatherings continued as planned Sunday despite poor air conditions.</t>
  </si>
  <si>
    <t>All subway stations have been outfitted with emergency intercoms and defibrillator kits.</t>
  </si>
  <si>
    <t>Each station has wall-mounted emergency tools like defibrillators and voice-call boxes for passengers.</t>
  </si>
  <si>
    <t>New fire safety codes mandate sprinkler systems in all apartment buildings over four stories.</t>
  </si>
  <si>
    <t>Buildings taller than four floors are now legally required to include sprinkler systems under the updated code.</t>
  </si>
  <si>
    <t>The earthquake response drill included search-and-rescue simulations and live triage exercises.</t>
  </si>
  <si>
    <t>First responders practiced search-and-rescue operations and emergency medical triage during the earthquake drill.</t>
  </si>
  <si>
    <t>The city installed flashing crosswalk lights and lowered speed limits near schools to enhance child safety.</t>
  </si>
  <si>
    <t>To protect students, school zones now feature speed limit reductions and illuminated pedestrian crossings.</t>
  </si>
  <si>
    <t>A new alert system sends real-time notifications to phones when a chemical spill is detected nearby.</t>
  </si>
  <si>
    <t>Chemical spill alerts are now pushed instantly to residents’ mobile devices under the new system.</t>
  </si>
  <si>
    <t>All commercial kitchens must post visible evacuation routes and conduct quarterly fire drills.</t>
  </si>
  <si>
    <t>New regulations require food establishments to display exit maps and run fire safety drills four times a year.</t>
  </si>
  <si>
    <t>The campaign encouraged emergency preparedness for hurricanes, including having a three-day water supply.</t>
  </si>
  <si>
    <t>The city’s outreach focused on securing outdoor furniture during hurricanes and checking battery-powered radios.</t>
  </si>
  <si>
    <t>A recent study examined how school lockdowns affect student mental health, while another looked at building access policies.</t>
  </si>
  <si>
    <t>One study addressed psychological effects of lockdowns, and the other explored entry protocols in educational buildings.</t>
  </si>
  <si>
    <t>The public safety conference featured sessions on autonomous vehicles and wildfire mitigation strategies.</t>
  </si>
  <si>
    <t>Speakers at the safety conference presented on drone regulations and pandemic response planning.</t>
  </si>
  <si>
    <t>The city upgraded warning sirens for tsunamis, while neighboring towns focused on landslide detection systems.</t>
  </si>
  <si>
    <t>Different jurisdictions enhanced their disaster alert systems but targeted different types of risks.</t>
  </si>
  <si>
    <t>Law enforcement expanded body camera programs, while fire departments received grants for thermal imaging gear.</t>
  </si>
  <si>
    <t>Separate agencies acquired new equipment aimed at improving safety, though in unrelated domains.</t>
  </si>
  <si>
    <t>The public awareness campaign covered CPR training, whereas another initiative emphasized emergency evacuation for pets.</t>
  </si>
  <si>
    <t>Two distinct outreach efforts focused on life-saving human aid and pet evacuation planning, respectively.</t>
  </si>
  <si>
    <t>The emergency alert was sent at 6:30 AM, ten minutes before the tsunami reached the shore.</t>
  </si>
  <si>
    <t>Officials confirmed no alerts were issued until after the tsunami had already made landfall.</t>
  </si>
  <si>
    <t>City fire codes require all high-rise buildings to have at least two fire exits on every floor.</t>
  </si>
  <si>
    <t>According to local policy, a single fire exit is sufficient in buildings up to ten stories.</t>
  </si>
  <si>
    <t>Investigators concluded the explosion was due to an illegal gas line running under the parking lot.</t>
  </si>
  <si>
    <t>The report determined the blast was caused by faulty fireworks stored in the basement.</t>
  </si>
  <si>
    <t>Surveillance footage proved the suspect entered through the eastern gate at 3:45 PM.</t>
  </si>
  <si>
    <t>The camera logs showed no movement near the eastern gate between 3:00 PM and 4:00 PM.</t>
  </si>
  <si>
    <t>A 2023 study found that pedestrian fatalities declined by 12% after speed limit reductions.</t>
  </si>
  <si>
    <t>The same study found that pedestrian deaths increased by 9% following the speed limit changes.</t>
  </si>
  <si>
    <t>Residents were told the water supply would be restored by 6 PM.</t>
  </si>
  <si>
    <t>The city announced the water outage would last until at least 10 PM.</t>
  </si>
  <si>
    <t>The department's training course covered CPR, wound care, and emergency evacuation protocols.</t>
  </si>
  <si>
    <t>The course included CPR certification, wound care techniques, and exit procedures.</t>
  </si>
  <si>
    <t>During the earthquake drill, employees practiced taking cover and using fire extinguishers.</t>
  </si>
  <si>
    <t>The safety exercise involved using fire extinguishers and sheltering during simulated tremors.</t>
  </si>
  <si>
    <t>New regulations require apartment buildings to install smoke detectors in every bedroom and hallway.</t>
  </si>
  <si>
    <t>Apartments must now include smoke alarms in each sleeping area and in connecting hallways per updated codes.</t>
  </si>
  <si>
    <t>Officers wore reflective vests and body cameras during the night patrol to ensure visibility and accountability.</t>
  </si>
  <si>
    <t>To increase visibility and transparency, officers on overnight patrols wore high-visibility gear and cameras.</t>
  </si>
  <si>
    <t>Emergency kits distributed to households included flashlights, water, medical supplies, and weather radios.</t>
  </si>
  <si>
    <t>The kits provided to residents contained radios, bottled water, first-aid kits, and lighting devices.</t>
  </si>
  <si>
    <t>Public buses are now equipped with surveillance cameras and emergency contact buttons at every exit.</t>
  </si>
  <si>
    <t>Transit safety upgrades include video monitoring and emergency buttons near all bus doors.</t>
  </si>
  <si>
    <t>The public safety committee discussed improving pedestrian crossings in residential areas.</t>
  </si>
  <si>
    <t>The public safety committee evaluated noise ordinances near airports to reduce complaints.</t>
  </si>
  <si>
    <t>City officials held a meeting on hurricane evacuation routes and designated shelters.</t>
  </si>
  <si>
    <t>Officials conducted a review of public pool safety regulations for the upcoming summer season.</t>
  </si>
  <si>
    <t>The fire department ran simulations of industrial chemical fires last week.</t>
  </si>
  <si>
    <t>The police department conducted active shooter drills at local schools over the same period.</t>
  </si>
  <si>
    <t>The town council proposed installing more streetlights near parks.</t>
  </si>
  <si>
    <t>At the same session, the council also considered banning e-scooters in downtown areas.</t>
  </si>
  <si>
    <t>Researchers analyzed radio system failures during wildfire response operations.</t>
  </si>
  <si>
    <t>Another team studied how extreme heat affected ambulance arrival times during urban emergencies.</t>
  </si>
  <si>
    <t>The health department focused its latest safety campaign on reducing indoor mold.</t>
  </si>
  <si>
    <t>Meanwhile, the city sanitation team addressed clogged storm drains in flood-prone neighborhoods.</t>
  </si>
  <si>
    <t>The chemical reaction between hydrogen and oxygen releases water as a product when sufficient energy is supplied.</t>
  </si>
  <si>
    <t>The combination of hydrogen and oxygen gas under heat generates water molecules as an outcome.</t>
  </si>
  <si>
    <t>Researchers found that the genetic mutation significantly increased the plant's tolerance to drought over multiple growing seasons.</t>
  </si>
  <si>
    <t>The mutation observed in the plants had no measurable effect on their resistance to dry conditions.</t>
  </si>
  <si>
    <t>The telescope captured high-resolution images of the exoplanet's atmosphere, revealing unexpected chemical signatures.</t>
  </si>
  <si>
    <t>The recent analysis of exoplanetary atmospheres focuses primarily on their potential to host microbial life rather than their chemical content.</t>
  </si>
  <si>
    <t>The rate of enzyme activity doubled when the temperature was raised from 20°C to 30°C in controlled laboratory experiments.</t>
  </si>
  <si>
    <t>Increasing the temperature from 20°C to 30°C caused a twofold rise in enzymatic reactions in the tests.</t>
  </si>
  <si>
    <t>According to the latest measurements, the asteroid will likely pass within 0.05 astronomical units of Earth next month.</t>
  </si>
  <si>
    <t>Astronomers concluded that the asteroid has no chance of coming closer than 1 astronomical unit to Earth this year.</t>
  </si>
  <si>
    <t>The paper examines the role of quantum entanglement in enhancing secure communication protocols.</t>
  </si>
  <si>
    <t>The study explores how genetic modifications in crops could potentially improve agricultural yields.</t>
  </si>
  <si>
    <t>The solar panels installed on the research facility's roof generated enough power to sustain all laboratory operations during summer months.</t>
  </si>
  <si>
    <t>The newly placed solar panels failed to produce sufficient energy to power the laboratory during peak sunlight periods.</t>
  </si>
  <si>
    <t>Scientists have observed that black holes can warp spacetime so severely that even light cannot escape.</t>
  </si>
  <si>
    <t>The immense gravitational pull of black holes bends the fabric of space and time to the extent that light is unable to leave.</t>
  </si>
  <si>
    <t>An experiment demonstrated that the growth rate of bacteria was highest during the initial eight hours of incubation.</t>
  </si>
  <si>
    <t>The bacterial growth rate peaked after twenty-four hours of incubation, not during the first eight hours.</t>
  </si>
  <si>
    <t>The magnetic field strength was measured at 1.2 Tesla near the superconducting core.</t>
  </si>
  <si>
    <t>Field strength data collected from the outer vacuum chamber indicated variations in electron density, not magnetic intensity.</t>
  </si>
  <si>
    <t>The researchers concluded that exposure to ultraviolet radiation increased the mutation frequency in the sample organisms.</t>
  </si>
  <si>
    <t>The team determined that ultraviolet light exposure reduced the mutation frequency among the same organisms.</t>
  </si>
  <si>
    <t>The fossil evidence suggests that feathered dinosaurs existed millions of years before modern birds evolved.</t>
  </si>
  <si>
    <t>The discovery of fossilized feathers predates the emergence of modern avian species.</t>
  </si>
  <si>
    <t>The laboratory’s findings imply that the newly discovered particle exists only at extremely high energies achievable in particle accelerators.</t>
  </si>
  <si>
    <t>The recent report claims that the particle can form naturally at ambient energy levels found in Earth's atmosphere.</t>
  </si>
  <si>
    <t>The deep-sea expedition collected sediment samples from trenches located over 10,000 meters below sea level.</t>
  </si>
  <si>
    <t>Samples retrieved from shallow coral reefs revealed different microbial communities compared to coastal ecosystems.</t>
  </si>
  <si>
    <t>The new climate model predicts that polar ice will continue melting at an accelerated rate due to rising global temperatures.</t>
  </si>
  <si>
    <t>The study anticipates a significant slowdown in polar ice melting over the coming decades despite increasing global temperatures.</t>
  </si>
  <si>
    <t>High-resolution spectroscopy revealed the presence of methane in the exoplanet's atmosphere.</t>
  </si>
  <si>
    <t>Observations using advanced spectroscopy detected methane signatures within the same exoplanetary atmosphere.</t>
  </si>
  <si>
    <t>The study demonstrated that the vaccine provided 95% effectiveness against the virus after two doses.</t>
  </si>
  <si>
    <t>Clinical data indicated that the vaccine reached only 60% effectiveness even after administering the recommended two doses.</t>
  </si>
  <si>
    <t>The researchers focused on analyzing the thermal properties of newly developed superconducting materials.</t>
  </si>
  <si>
    <t>The team prioritized investigating the aerodynamic behavior of novel drone designs rather than material properties.</t>
  </si>
  <si>
    <t>Data indicate that neurons communicate through electrochemical signals involving both electrical impulses and neurotransmitters.</t>
  </si>
  <si>
    <t>Neuronal communication relies on action potentials and the release of neurotransmitters across synaptic gaps.</t>
  </si>
  <si>
    <t>The river water samples collected downstream contained elevated concentrations of lead compared to upstream measurements.</t>
  </si>
  <si>
    <t>Testing revealed that downstream water had lower lead concentrations than upstream locations.</t>
  </si>
  <si>
    <t>Theoretical models describe dark matter as an invisible substance that interacts gravitationally but not electromagnetically.</t>
  </si>
  <si>
    <t>Research in microbiology explores the evolution of antibiotic-resistant bacterial strains in hospital environments.</t>
  </si>
  <si>
    <t>The robotic probe successfully landed on the asteroid’s surface and transmitted detailed images back to Earth.</t>
  </si>
  <si>
    <t>The probe missed the asteroid completely and failed to send any images to mission control.</t>
  </si>
  <si>
    <t>Experimental results confirmed that the catalyst accelerated the chemical reaction by lowering the activation energy.</t>
  </si>
  <si>
    <t>The catalyst was shown to speed up the reaction because it reduced the amount of energy required for molecules to collide effectively.</t>
  </si>
  <si>
    <t>The geologists estimated that the volcanic eruption occurred approximately 3,000 years ago.</t>
  </si>
  <si>
    <t>The same volcanic event was determined to have taken place roughly 12,000 years ago.</t>
  </si>
  <si>
    <t>The research focused on identifying patterns in cosmic microwave background radiation fluctuations.</t>
  </si>
  <si>
    <t>The latest investigations in neuroscience aim to map how synaptic connections change during memory consolidation.</t>
  </si>
  <si>
    <t>The lab findings showed that the synthetic polymer was non-toxic to aquatic organisms under prolonged exposure.</t>
  </si>
  <si>
    <t>Toxicity tests revealed that the same polymer caused significant harm to fish populations after extended exposure periods.</t>
  </si>
  <si>
    <t>Measurements showed that sound travels faster in water than in air due to differences in density and elasticity.</t>
  </si>
  <si>
    <t>Sound propagates more quickly in water than in air because water's higher density facilitates faster wave transmission.</t>
  </si>
  <si>
    <t>According to the climate projections, rainfall in the desert region will remain sporadic and minimal for the next decade.</t>
  </si>
  <si>
    <t>Forecasts predict that the desert region will experience frequent and substantial rainfall events in the coming decade.</t>
  </si>
  <si>
    <t>The space telescope detected faint light from distant galaxies formed shortly after the Big Bang.</t>
  </si>
  <si>
    <t>Recent studies analyzed microbial biofilms forming on industrial equipment submerged in marine environments.</t>
  </si>
  <si>
    <t>The analysis concluded that deforestation contributes significantly to the loss of biodiversity in tropical regions.</t>
  </si>
  <si>
    <t>The report suggested that deforestation plays a negligible role in biodiversity decline within tropical regions.</t>
  </si>
  <si>
    <t>The newly synthesized compound exhibited high electrical conductivity at room temperature.</t>
  </si>
  <si>
    <t>Tests confirmed that the compound conducted electricity exceptionally well without requiring cooling.</t>
  </si>
  <si>
    <t>The experiment showed that increasing carbon dioxide levels in the chamber accelerated plant growth under controlled lighting.</t>
  </si>
  <si>
    <t>Raising carbon dioxide levels in a similar controlled environment slowed plant growth noticeably.</t>
  </si>
  <si>
    <t>Satellite imagery confirmed that the glacier has been retreating steadily over the past twenty years.</t>
  </si>
  <si>
    <t>Analysis of long-term satellite data shows a consistent reduction in glacier size for the past two decades.</t>
  </si>
  <si>
    <t>Researchers developed a new alloy that retains its strength even at temperatures exceeding 1,000°C.</t>
  </si>
  <si>
    <t>The research team focused primarily on creating biodegradable plastics that break down quickly in marine environments.</t>
  </si>
  <si>
    <t>The data indicated that the speed of sound in steel is significantly higher than in air due to its greater density.</t>
  </si>
  <si>
    <t>Sound waves travel faster through steel than through air because of steel's denser molecular structure.</t>
  </si>
  <si>
    <t>Recent laboratory tests found that the newly designed battery can be recharged up to 2,000 times before losing capacity.</t>
  </si>
  <si>
    <t>Field evaluations revealed that the same battery stops functioning after only 500 recharge cycles.</t>
  </si>
  <si>
    <t>The paleontological survey revealed fossils of marine organisms in an area that is now a high-altitude desert.</t>
  </si>
  <si>
    <t>A separate geological study investigated soil erosion rates in temperate forest ecosystems.</t>
  </si>
  <si>
    <t>Data show that exposure to high doses of ionizing radiation significantly increases the risk of DNA damage.</t>
  </si>
  <si>
    <t>The results suggest that even when organisms are exposed to high levels of ionizing radiation, there is no measurable DNA damage.</t>
  </si>
  <si>
    <t>Quantum computing utilizes superposition and entanglement to perform calculations far beyond the capacity of classical machines.</t>
  </si>
  <si>
    <t>The ability of quantum computers to exploit entanglement allows them to achieve speeds unattainable by conventional systems.</t>
  </si>
  <si>
    <t>The oceanographic expedition measured water temperatures that were highest near the surface and lowest at the seabed.</t>
  </si>
  <si>
    <t>The collected data revealed that the warmest temperatures were found at the greatest depths rather than near the surface.</t>
  </si>
  <si>
    <t>The newly published paper details how gravitational lensing can be used to observe galaxies billions of light-years away.</t>
  </si>
  <si>
    <t>Another recent publication focuses on techniques for improving gene-editing accuracy in mammalian cells.</t>
  </si>
  <si>
    <t>The field study confirmed that the insect population doubled in size after the pesticide ban was implemented.</t>
  </si>
  <si>
    <t>Population surveys showed that insect numbers were halved following the pesticide ban.</t>
  </si>
  <si>
    <t>The experiment demonstrated that red light exposure caused tomato plants to produce more chlorophyll than blue light.</t>
  </si>
  <si>
    <t>Tomato plants subjected to red wavelengths generated greater chlorophyll content than those exposed to blue wavelengths.</t>
  </si>
  <si>
    <t>Astrophysicists assert that the universe is approximately 13.8 billion years old based on cosmic background radiation data.</t>
  </si>
  <si>
    <t>Some researchers argue that the universe is only a few thousand years old, rejecting the cosmological evidence entirely.</t>
  </si>
  <si>
    <t>The study assessed the effects of microplastics on marine organisms in coastal waters.</t>
  </si>
  <si>
    <t>The researchers investigated the impact of wind turbulence on airplane wing efficiency.</t>
  </si>
  <si>
    <t>Laboratory observations showed that without proper nutrients, bacterial colonies could not survive for more than 48 hours.</t>
  </si>
  <si>
    <t>Bacterial samples thrived beyond 48 hours even in nutrient-deprived environments.</t>
  </si>
  <si>
    <t>The experiment revealed that gold nanoparticles improved the efficiency of solar cells by enhancing light absorption.</t>
  </si>
  <si>
    <t>Tests confirmed that solar cells with gold nanoparticles exhibited increased energy conversion efficiency due to enhanced light capture.</t>
  </si>
  <si>
    <t>Spectral analysis indicated that the star contains a high percentage of hydrogen and helium with minimal heavier elements.</t>
  </si>
  <si>
    <t>Observations revealed that the star's composition is dominated by heavy metals and contains little hydrogen.</t>
  </si>
  <si>
    <t>The controlled trial demonstrated that participants who exercised regularly showed improved cardiovascular health over six months.</t>
  </si>
  <si>
    <t>People engaging in consistent physical activity exhibited measurable heart health improvements after half a year.</t>
  </si>
  <si>
    <t>The laboratory investigation focused on the mechanical strength of new ceramic composites under extreme pressure.</t>
  </si>
  <si>
    <t>The research team analyzed the nutritional value of alternative plant-based protein sources.</t>
  </si>
  <si>
    <t>Field measurements confirmed that the salinity of the estuary increases during the dry season when river inflow decreases.</t>
  </si>
  <si>
    <t>Salinity levels rise in the estuary during periods of low freshwater input caused by reduced rainfall.</t>
  </si>
  <si>
    <t>Data collected by the weather station show that annual precipitation in the region averages 800 mm.</t>
  </si>
  <si>
    <t>Recent climate records indicate the same area receives an average of only 300 mm of rainfall each year.</t>
  </si>
  <si>
    <t>The study explored the effects of prolonged spaceflight on human bone density.</t>
  </si>
  <si>
    <t>Researchers analyzed the role of soil pH in determining crop yields in agricultural fields.</t>
  </si>
  <si>
    <t>The experiment showed that high-voltage electrical fields inhibited seed germination significantly.</t>
  </si>
  <si>
    <t>Seed germination rates remained unaffected even when exposed to high-voltage electrical fields.</t>
  </si>
  <si>
    <t>Electron microscopy revealed that the virus’s outer shell consists of tightly packed protein structures.</t>
  </si>
  <si>
    <t>Microscopic imaging showed a dense arrangement of protein units forming the outer shell of the virus.</t>
  </si>
  <si>
    <t>The thermal imaging survey detected the highest heat signatures at the volcanic vent rather than the crater’s rim.</t>
  </si>
  <si>
    <t>Temperature readings indicated that the rim of the crater was hotter than the central vent.</t>
  </si>
  <si>
    <t>The new computational model predicts energy efficiency improvements in next-generation electric motors.</t>
  </si>
  <si>
    <t>The recently published paper examines behavioral changes in social insects when subjected to environmental stress.</t>
  </si>
  <si>
    <t>Longitudinal data confirmed that deforestation in tropical regions leads to a measurable decline in regional rainfall.</t>
  </si>
  <si>
    <t>Field evidence showed that deforestation had no impact on the rainfall levels in tropical regions.</t>
  </si>
  <si>
    <t>The experiment concluded that the crystal structure changes when the material is cooled below its critical temperature.</t>
  </si>
  <si>
    <t>Cooling the substance past its critical temperature altered its internal crystalline arrangement.</t>
  </si>
  <si>
    <t>Biologists agree that photosynthesis converts light energy into chemical energy stored as glucose.</t>
  </si>
  <si>
    <t>Some claims suggest that photosynthesis primarily releases chemical energy instead of storing it.</t>
  </si>
  <si>
    <t>The marine biology research investigated coral bleaching events caused by rising ocean temperatures.</t>
  </si>
  <si>
    <t>A separate ecological study focused on the migration patterns of caribou across Arctic tundra.</t>
  </si>
  <si>
    <t>Statistical analysis indicated that there was a 90% chance of the chemical reaction occurring under those specific conditions.</t>
  </si>
  <si>
    <t>The probability of the same reaction happening under identical conditions was calculated to be near zero.</t>
  </si>
  <si>
    <t>Microscopy revealed that the newly discovered bacterium produces biofilms on smooth, artificial surfaces.</t>
  </si>
  <si>
    <t>The bacterium was found to form dense biofilms on synthetic materials during initial growth stages.</t>
  </si>
  <si>
    <t>Genetic sequencing revealed that the newly discovered plant species shares 85% of its genome with a known medicinal herb.</t>
  </si>
  <si>
    <t>The analysis found that the plant species shares less than 20% of its genome with any previously studied herbs.</t>
  </si>
  <si>
    <t>The laboratory confirmed that the liquid's boiling point increases under higher atmospheric pressure.</t>
  </si>
  <si>
    <t>Raising atmospheric pressure caused the liquid to reach a higher boiling temperature.</t>
  </si>
  <si>
    <t>The research team concentrated on analyzing how magnetic fields affect charged particle trajectories.</t>
  </si>
  <si>
    <t>The team’s primary focus was the psychological effects of long-term isolation on human behavior.</t>
  </si>
  <si>
    <t>The controlled tests demonstrated that higher nutrient concentrations in the soil improved wheat yields.</t>
  </si>
  <si>
    <t>Increased soil nutrients led to a measurable rise in wheat production.</t>
  </si>
  <si>
    <t>Satellite observations indicated that the ozone hole was at its largest extent in 2006.</t>
  </si>
  <si>
    <t>Data show that the ozone hole reached its smallest recorded size in 2006.</t>
  </si>
  <si>
    <t>The study examined how stress hormones influence memory retention in mammals.</t>
  </si>
  <si>
    <t>The experiment investigated the efficiency of solar panels under varying light intensities.</t>
  </si>
  <si>
    <t>The chemical analysis determined that the sample was free of any detectable toxins.</t>
  </si>
  <si>
    <t>Tests confirmed the presence of multiple harmful toxins in the same sample.</t>
  </si>
  <si>
    <t>The field experiment verified that the river’s current flows northward for most of its course.</t>
  </si>
  <si>
    <t>Hydrological surveys indicated that the river predominantly flows southward.</t>
  </si>
  <si>
    <t>Experimental evidence confirmed that superconductivity occurs when the material is cooled below its critical temperature.</t>
  </si>
  <si>
    <t>The phenomenon of superconductivity appears only after the material is cooled beneath its threshold temperature.</t>
  </si>
  <si>
    <t>Seismological data showed that the earthquake originated 50 kilometers below the Earth's surface.</t>
  </si>
  <si>
    <t>Geological studies focused on how plant roots stabilize soil in flood-prone regions.</t>
  </si>
  <si>
    <t>The long-term ecological study revealed that invasive species reduced the diversity of native plants.</t>
  </si>
  <si>
    <t>Invasive species were found to increase biodiversity by creating more niches for native plants.</t>
  </si>
  <si>
    <t>Controlled laboratory results demonstrated that enzyme activity peaked at pH 7.</t>
  </si>
  <si>
    <t>The enzyme reached its highest activity level at a neutral pH value.</t>
  </si>
  <si>
    <t>Radiocarbon dating suggested that the ancient settlement existed around 5,000 years ago.</t>
  </si>
  <si>
    <t>Dating techniques placed the same settlement’s origin at approximately 500 years ago.</t>
  </si>
  <si>
    <t>The climate simulation projected an increase in global sea levels by nearly one meter by the year 2100.</t>
  </si>
  <si>
    <t>The model predicted significant temperature changes but no measurable rise in sea levels through 2100.</t>
  </si>
  <si>
    <t>The research investigated the role of bacterial biofilms in industrial water pipes.</t>
  </si>
  <si>
    <t>The study focused on the formation of volcanic rock layers after lava flows cooled.</t>
  </si>
  <si>
    <t>Microscopic analysis showed that the newly engineered material had a perfectly uniform lattice structure.</t>
  </si>
  <si>
    <t>Imaging revealed that the same material contained multiple structural defects and lacked uniformity.</t>
  </si>
  <si>
    <t>Data indicated that ultraviolet radiation damages DNA strands, causing mutations.</t>
  </si>
  <si>
    <t>Exposure to ultraviolet light was observed to break DNA strands and induce mutations.</t>
  </si>
  <si>
    <t>Clinical trials demonstrated that the new antiviral drug reduced recovery time by 40% compared to standard treatment.</t>
  </si>
  <si>
    <t>Testing showed that the drug increased recovery time by 40% when compared to conventional therapy.</t>
  </si>
  <si>
    <t>The analysis confirmed that copper conducts electricity more efficiently than iron under identical conditions.</t>
  </si>
  <si>
    <t>Copper exhibits better electrical conductivity than iron when tested under the same parameters.</t>
  </si>
  <si>
    <t>The fieldwork focused on the mineral composition of lunar rocks collected during past space missions.</t>
  </si>
  <si>
    <t>The study centered on how seasonal changes affect bird migration routes across continents.</t>
  </si>
  <si>
    <t>The experiment demonstrated that pressure inside the sealed chamber rose steadily as temperature increased.</t>
  </si>
  <si>
    <t>The results showed a direct relationship between rising temperature and increasing pressure in the closed system.</t>
  </si>
  <si>
    <t>Measurements indicated that the comet will approach within 0.03 astronomical units of Earth.</t>
  </si>
  <si>
    <t>Astronomical calculations predict that the comet will remain at least 0.5 astronomical units away from Earth.</t>
  </si>
  <si>
    <t>The research examined how neural networks in the brain process visual information.</t>
  </si>
  <si>
    <t>A separate project studied the effects of fertilizer runoff on freshwater algae blooms.</t>
  </si>
  <si>
    <t>Observations confirmed that the desert region experienced no measurable rainfall over the past three years.</t>
  </si>
  <si>
    <t>Meteorological data recorded consistent annual rainfall in the same desert area during the last three years.</t>
  </si>
  <si>
    <t>High-resolution imaging revealed that the crater's diameter was largest at the center and decreased outward.</t>
  </si>
  <si>
    <t>Analysis showed that the crater walls sloped inward, making the outer edge wider than the center.</t>
  </si>
  <si>
    <t>The particle accelerator experiments validated that protons travel at nearly the speed of light when supplied with sufficient energy.</t>
  </si>
  <si>
    <t>Protons accelerated in large colliders can approach light speed when provided with high energy levels.</t>
  </si>
  <si>
    <t>The study evaluated the effectiveness of biodegradable packaging in reducing landfill waste.</t>
  </si>
  <si>
    <t>The investigation focused on the role of black holes in galaxy formation.</t>
  </si>
  <si>
    <t>The controlled tests revealed that without sunlight, photosynthesis could not occur in the plants.</t>
  </si>
  <si>
    <t>Plants were observed to continue photosynthesizing even in complete darkness.</t>
  </si>
  <si>
    <t>The analysis showed that organisms in polar waters have adapted antifreeze proteins to survive in subzero temperatures.</t>
  </si>
  <si>
    <t>Species living in extremely cold oceans produce antifreeze proteins that prevent ice crystal formation in their cells.</t>
  </si>
  <si>
    <t>Research indicated that there is a 95% likelihood that the species will become extinct within the next 50 years.</t>
  </si>
  <si>
    <t>The same analysis concluded that there is virtually no chance of extinction for the species in the next half-century.</t>
  </si>
  <si>
    <t>The recent geochemical survey mapped variations in soil pH across the floodplain.</t>
  </si>
  <si>
    <t>A different project investigated the mechanics of glacial ice movement over mountain valleys.</t>
  </si>
  <si>
    <t>The experiment showed that introducing a second catalyst slowed the overall reaction rate significantly.</t>
  </si>
  <si>
    <t>Adding an additional catalyst accelerated the chemical process rather than slowing it.</t>
  </si>
  <si>
    <t>Studies confirmed that the universe is expanding, as indicated by the redshift of distant galaxies.</t>
  </si>
  <si>
    <t>Astronomical observations reveal that galaxies farther away show greater redshifts, confirming cosmic expansion.</t>
  </si>
  <si>
    <t>Long-term monitoring revealed that atmospheric carbon dioxide levels have been steadily rising since the industrial revolution.</t>
  </si>
  <si>
    <t>Historical data indicate that carbon dioxide concentrations have remained constant for the past two centuries.</t>
  </si>
  <si>
    <t>Microscopic analysis confirmed that the crystal samples contained perfectly aligned lattice structures.</t>
  </si>
  <si>
    <t>The crystal samples displayed consistent and uniform lattice alignment when viewed under high magnification.</t>
  </si>
  <si>
    <t>The experiment investigated the rate at which ice melts in saltwater compared to freshwater.</t>
  </si>
  <si>
    <t>The study focused on the influence of planetary magnetic fields on charged particles in space.</t>
  </si>
  <si>
    <t>The field survey showed that bird populations declined by 30% over the last decade in the studied wetlands.</t>
  </si>
  <si>
    <t>Avian numbers in the same wetland region dropped by roughly one-third during the past ten years.</t>
  </si>
  <si>
    <t>Tests indicated that the alloy could withstand temperatures up to 1,500°C without deforming.</t>
  </si>
  <si>
    <t>Stress analysis revealed that the alloy loses structural integrity at 600°C.</t>
  </si>
  <si>
    <t>The research analyzed how genetic variations influence susceptibility to viral infections.</t>
  </si>
  <si>
    <t>Another investigation examined how volcanic eruptions affect atmospheric circulation patterns.</t>
  </si>
  <si>
    <t>The chemical assay determined that the water samples were completely free of lead contamination.</t>
  </si>
  <si>
    <t>Analysis found measurable amounts of lead in the same water samples.</t>
  </si>
  <si>
    <t>Data collected from ocean buoys showed that sea surface temperatures are highest near the equator.</t>
  </si>
  <si>
    <t>Temperature readings indicated that the coldest ocean surfaces were located in equatorial waters.</t>
  </si>
  <si>
    <t>Spectroscopy confirmed that hydrogen is the most abundant element in the observed nebula.</t>
  </si>
  <si>
    <t>Measurements showed that the nebula’s composition is dominated by hydrogen, making it the most abundant element.</t>
  </si>
  <si>
    <t>The recent study explored the chemical composition of Martian dust particles.</t>
  </si>
  <si>
    <t>The investigation focused on behavioral adaptations of desert mammals to water scarcity.</t>
  </si>
  <si>
    <t>Experiments showed that the vaccine completely prevented infection in 100% of test subjects.</t>
  </si>
  <si>
    <t>Clinical trials demonstrated that some participants contracted the disease despite receiving the vaccine.</t>
  </si>
  <si>
    <t>The research demonstrated that freshwater fish regulate their internal salt balance through specialized cells in their gills.</t>
  </si>
  <si>
    <t>Certain fish maintain homeostasis by actively controlling salt concentrations via gill cells.</t>
  </si>
  <si>
    <t>Archaeological dating placed the ancient artifact at around 2,000 years old.</t>
  </si>
  <si>
    <t>Radiocarbon testing determined that the artifact was created approximately 10,000 years ago.</t>
  </si>
  <si>
    <t>The computational model predicted no significant rise in sea levels over the next century.</t>
  </si>
  <si>
    <t>The simulation projected an increase in sea levels by nearly one meter by the year 2100.</t>
  </si>
  <si>
    <t>The study investigated the effect of light intensity on chloroplast density in plant leaves.</t>
  </si>
  <si>
    <t>The research examined the role of enzymes in metabolic pathways of bacteria.</t>
  </si>
  <si>
    <t>Material testing revealed that the polymer was highly elastic and could stretch to five times its original length.</t>
  </si>
  <si>
    <t>The polymer exhibited strong elasticity, expanding up to five times its initial size without breaking.</t>
  </si>
  <si>
    <t>Field research confirmed that removing apex predators from an ecosystem caused herbivore populations to increase dramatically.</t>
  </si>
  <si>
    <t>In ecosystems where apex predators were removed, herbivore populations declined instead of rising.</t>
  </si>
  <si>
    <t>The Yankees' starting pitcher threw a complete game shutout with 14 strikeouts.</t>
  </si>
  <si>
    <t>The Yankees' starting pitcher was pulled in the fifth inning after giving up six runs.</t>
  </si>
  <si>
    <t>The official MLB rules state that a batter is out after three strikes.</t>
  </si>
  <si>
    <t>A batter is considered out after accumulating three strikes during their turn at bat.</t>
  </si>
  <si>
    <t>During the 2022 season, the Seattle Mariners made the playoffs for the first time in over two decades.</t>
  </si>
  <si>
    <t>The Mariners were eliminated from playoff contention by early August of the 2022 season.</t>
  </si>
  <si>
    <t>The designated hitter rule allows teams in the American League to have a player bat in place of the pitcher.</t>
  </si>
  <si>
    <t>The National League historically did not allow the designated hitter until recent rule changes.</t>
  </si>
  <si>
    <t>The center fielder made a spectacular leaping catch to rob a home run.</t>
  </si>
  <si>
    <t>The center fielder misjudged the ball and it sailed over the fence for a home run.</t>
  </si>
  <si>
    <t>Jacob deGrom has consistently been praised for his pinpoint control and fastball velocity.</t>
  </si>
  <si>
    <t>Analysts frequently highlight deGrom’s ability to dominate with precise location and high-speed pitches.</t>
  </si>
  <si>
    <t>The shortstop made an error in the bottom of the ninth, allowing the tying run to score.</t>
  </si>
  <si>
    <t>The shortstop made a game-saving double play in the bottom of the ninth inning.</t>
  </si>
  <si>
    <t>The umpire called the runner safe at second base after a close tag.</t>
  </si>
  <si>
    <t>The runner was clearly thrown out by several feet at second base.</t>
  </si>
  <si>
    <t>Minor league teams often serve as development grounds for future MLB stars.</t>
  </si>
  <si>
    <t>Minor league games tend to draw large national television audiences.</t>
  </si>
  <si>
    <t>Fenway Park in Boston is known for its iconic Green Monster in left field.</t>
  </si>
  <si>
    <t>The Green Monster is a prominent feature of Fenway Park and adds a unique challenge for hitters.</t>
  </si>
  <si>
    <t>Batters typically wear helmets for protection when stepping into the batter’s box.</t>
  </si>
  <si>
    <t>Catchers wear protective gear, including a chest protector and helmet, behind the plate.</t>
  </si>
  <si>
    <t>The new pitch clock rule was implemented to reduce game time and increase pace of play.</t>
  </si>
  <si>
    <t>The pitch clock rule was designed to give pitchers more time between deliveries.</t>
  </si>
  <si>
    <t>The 2004 Red Sox famously came back from a 3-0 deficit to beat the Yankees in the ALCS.</t>
  </si>
  <si>
    <t>The Red Sox were swept by the Yankees in the 2004 ALCS after losing the first three games.</t>
  </si>
  <si>
    <t>A successful squeeze bunt requires precise timing between the batter and runner.</t>
  </si>
  <si>
    <t>Executing a squeeze bunt is a strategic move to score a runner from third base.</t>
  </si>
  <si>
    <t>The right field fence in Oracle Park is shorter than the one in Yankee Stadium.</t>
  </si>
  <si>
    <t>The right field fence in Yankee Stadium is shorter than the one in Oracle Park.</t>
  </si>
  <si>
    <t>In the bottom of the 10th, the home team walked it off with a two-run double.</t>
  </si>
  <si>
    <t>The game went into extra innings but ended in a tie after 12 innings.</t>
  </si>
  <si>
    <t>The Chicago Cubs won the World Series in 2016, ending a 108-year championship drought.</t>
  </si>
  <si>
    <t>The Cubs’ 2016 World Series win is considered one of the most historic moments in baseball.</t>
  </si>
  <si>
    <t>Spring training provides teams with an opportunity to evaluate new players before the season.</t>
  </si>
  <si>
    <t>The All-Star Game serves as a mid-season exhibition featuring the league’s best talent.</t>
  </si>
  <si>
    <t>A no-hitter occurs when a pitcher does not allow any hits over at least nine innings.</t>
  </si>
  <si>
    <t>A no-hitter is defined as a game where no runs are allowed by the opposing team.</t>
  </si>
  <si>
    <t>The pitcher intentionally walked the batter to face the next hitter, who had been struggling.</t>
  </si>
  <si>
    <t>The manager ordered the intentional walk because the batter posed no threat.</t>
  </si>
  <si>
    <t>The closer gave up a walk-off home run on a full count in the 9th inning.</t>
  </si>
  <si>
    <t>The closer retired the side in order in the bottom of the 9th to secure the win.</t>
  </si>
  <si>
    <t>The batter was awarded first base after being hit by a pitch.</t>
  </si>
  <si>
    <t>A player who is hit by a pitch is automatically sent to second base.</t>
  </si>
  <si>
    <t>Chase Utley was known for his aggressive base running and quick turns around second.</t>
  </si>
  <si>
    <t>Chase Utley’s conservative running style often kept him from taking extra bases.</t>
  </si>
  <si>
    <t>The final score of the game was 8–6 in favor of the home team.</t>
  </si>
  <si>
    <t>The final score was 2–0 with the visiting team winning by a shutout.</t>
  </si>
  <si>
    <t>The San Diego Padres play their home games at Petco Park.</t>
  </si>
  <si>
    <t>Petco Park is the home stadium of the San Diego Padres.</t>
  </si>
  <si>
    <t>An intentional walk involves four pitches thrown outside the strike zone to put a batter on base.</t>
  </si>
  <si>
    <t>A pitcher may issue an intentional walk without throwing a single pitch by signaling to the umpire.</t>
  </si>
  <si>
    <t>The left-handed pitcher relied heavily on his curveball to fool right-handed hitters.</t>
  </si>
  <si>
    <t>The pitcher’s primary strategy was to use his curveball to generate swings and misses from righties.</t>
  </si>
  <si>
    <t>The team signed the veteran catcher primarily for his experience managing pitchers.</t>
  </si>
  <si>
    <t>The team brought in the veteran catcher to replace their struggling power hitter.</t>
  </si>
  <si>
    <t>Rain delays can sometimes extend games by several hours.</t>
  </si>
  <si>
    <t>Most baseball games are played indoors with no risk of weather interruptions.</t>
  </si>
  <si>
    <t>The outfielder's glove broke as he dove for a line drive in the eighth inning.</t>
  </si>
  <si>
    <t>The outfielder successfully made the diving catch and came up with the ball cleanly.</t>
  </si>
  <si>
    <t>The World Baseball Classic is an international tournament that features national teams from across the globe.</t>
  </si>
  <si>
    <t>The World Baseball Classic is a global event that highlights the best talent representing their countries.</t>
  </si>
  <si>
    <t>The batter took several practice swings in the on-deck circle.</t>
  </si>
  <si>
    <t>The relief pitcher was warming up in the bullpen.</t>
  </si>
  <si>
    <t>Some sluggers prefer heavier bats to maximize momentum through the zone.</t>
  </si>
  <si>
    <t>Many hitters choose lighter bats to increase their swing speed and make more contact.</t>
  </si>
  <si>
    <t>The Dodgers swept the series in four games, advancing to the next round.</t>
  </si>
  <si>
    <t>The Dodgers were eliminated in five games after losing the series.</t>
  </si>
  <si>
    <t>The infield fly rule protects runners from deceptive pop-ups in certain situations.</t>
  </si>
  <si>
    <t>The infield fly rule is meant to prevent double plays on routine infield pop-ups.</t>
  </si>
  <si>
    <t>The umpire ruled that the batter checked his swing and did not go around.</t>
  </si>
  <si>
    <t>The umpire declared the batter struck out on a full swing.</t>
  </si>
  <si>
    <t>The base coach waved the runner home as the ball rolled into the outfield.</t>
  </si>
  <si>
    <t>The base coach signaled for the runner to stop at third base.</t>
  </si>
  <si>
    <t>The pitcher tossed a complete-game shutout on just 89 pitches.</t>
  </si>
  <si>
    <t>The pitcher was removed in the third inning after giving up five earned runs.</t>
  </si>
  <si>
    <t>The player was suspended for violating the league’s substance abuse policy.</t>
  </si>
  <si>
    <t>The league cleared the player of all charges related to substance violations.</t>
  </si>
  <si>
    <t>The outfield walls at Coors Field are known to be deep, contributing to high-scoring games.</t>
  </si>
  <si>
    <t>The short dimensions of Coors Field limit extra-base hits and reduce scoring.</t>
  </si>
  <si>
    <t>The designated hitter’s role is to bat in place of the pitcher without playing defense.</t>
  </si>
  <si>
    <t>The designated hitter never takes a defensive position on the field.</t>
  </si>
  <si>
    <t>The shortstop fielded the ground ball cleanly and threw out the runner at first.</t>
  </si>
  <si>
    <t>The infielder made a strong throw to first after smoothly fielding the grounder.</t>
  </si>
  <si>
    <t>The team clinched a playoff spot after winning their final three regular season games.</t>
  </si>
  <si>
    <t>Their postseason berth was secured with a strong finish to the regular season.</t>
  </si>
  <si>
    <t>A balk results in all runners advancing one base.</t>
  </si>
  <si>
    <t>A balk allows the batter to take a free base.</t>
  </si>
  <si>
    <t>The team’s ace has a 2.17 ERA through the first half of the season.</t>
  </si>
  <si>
    <t>The team’s ace is leading the league in earned run average.</t>
  </si>
  <si>
    <t>The Hall of Fame voting process involves members of the Baseball Writers’ Association of America.</t>
  </si>
  <si>
    <t>Only fans are allowed to vote for players entering the Hall of Fame.</t>
  </si>
  <si>
    <t>The bullpen phone rang three times before the lefty reliever got up to stretch.</t>
  </si>
  <si>
    <t>The team’s hitting coach reviewed video footage with the designated hitter.</t>
  </si>
  <si>
    <t>Several former MLB players now work as commentators for national broadcasts.</t>
  </si>
  <si>
    <t>Many retired athletes transition into coaching or business roles after their playing careers.</t>
  </si>
  <si>
    <t>Opening Day marks the beginning of the Major League Baseball regular season.</t>
  </si>
  <si>
    <t>The Home Run Derby occurs during the All-Star break midway through the season.</t>
  </si>
  <si>
    <t>The team’s road uniforms feature gray jerseys with navy lettering.</t>
  </si>
  <si>
    <t>Their home uniforms are white with red trim and pinstripes.</t>
  </si>
  <si>
    <t>The game was postponed due to heavy rainfall that flooded the outfield.</t>
  </si>
  <si>
    <t>The game was played as scheduled despite the weather forecast.</t>
  </si>
  <si>
    <t>The scoreboard displayed a final score of 5–3 in favor of the visiting team.</t>
  </si>
  <si>
    <t>The home team won the game 7–2 after a dominant performance.</t>
  </si>
  <si>
    <t>The catcher wore a chest protector, shin guards, and a helmet for safety.</t>
  </si>
  <si>
    <t>The catcher refused to wear any protective gear behind the plate.</t>
  </si>
  <si>
    <t>The pitcher threw a no-hitter, retiring all 27 batters he faced.</t>
  </si>
  <si>
    <t>The pitcher allowed six hits and three runs over seven innings.</t>
  </si>
  <si>
    <t>The rulebook clearly states that runners must tag up after a caught fly ball.</t>
  </si>
  <si>
    <t>According to the rules, runners are allowed to advance without tagging up on a fly ball.</t>
  </si>
  <si>
    <t>The pitcher relied heavily on his fastball and slider combination to keep hitters off balance.</t>
  </si>
  <si>
    <t>He mixed in his fastball and slider to dominate opposing lineups.</t>
  </si>
  <si>
    <t>The team called up their top prospect from Triple-A to join the rotation.</t>
  </si>
  <si>
    <t>Their most promising minor leaguer was promoted to the starting pitching staff.</t>
  </si>
  <si>
    <t>During the ninth inning, the closer struck out the side to seal the victory.</t>
  </si>
  <si>
    <t>In the final inning, the reliever recorded three consecutive strikeouts to end the game.</t>
  </si>
  <si>
    <t>The player was traded to the Mets in the middle of the season for two prospects.</t>
  </si>
  <si>
    <t>He was sent to New York in a deadline deal that included minor league talent.</t>
  </si>
  <si>
    <t>The batter drew a walk after working a full count.</t>
  </si>
  <si>
    <t>The batter reached first base after taking four balls.</t>
  </si>
  <si>
    <t>Some fans enjoy the nostalgia of old ballparks, while others prefer the amenities of modern stadiums.</t>
  </si>
  <si>
    <t>Baseball stadiums vary greatly in atmosphere, design, and fan experience.</t>
  </si>
  <si>
    <t>Spring training is held in Arizona and Florida and allows players to prepare for the season.</t>
  </si>
  <si>
    <t>The annual trade deadline occurs mid-season and affects team rosters.</t>
  </si>
  <si>
    <t>The team unveiled their new alternate uniforms during a weekend series.</t>
  </si>
  <si>
    <t>The league announced changes to the draft eligibility rules.</t>
  </si>
  <si>
    <t>Scouts often evaluate a prospect’s bat speed, arm strength, and defensive instincts.</t>
  </si>
  <si>
    <t>Statisticians focus on sabermetrics to assess player performance.</t>
  </si>
  <si>
    <t>Ballparks in high-altitude cities tend to produce more home runs than those at sea level.</t>
  </si>
  <si>
    <t>Pitchers often experience a drop in spin rate when throwing in humid environments.</t>
  </si>
  <si>
    <t>The game began at 7:10 PM under the lights at Busch Stadium.</t>
  </si>
  <si>
    <t>The first pitch was thrown at 1:05 PM in front of a sunny afternoon crowd.</t>
  </si>
  <si>
    <t>The batter was ruled out after he failed to touch first base.</t>
  </si>
  <si>
    <t>The batter was allowed to stay on base even though he skipped first.</t>
  </si>
  <si>
    <t>The third baseman fielded the bunt and threw to first just in time to get the out.</t>
  </si>
  <si>
    <t>The third baseman overthrew first base, allowing the runner to reach safely.</t>
  </si>
  <si>
    <t>The player missed the entire 2023 season due to a torn ACL.</t>
  </si>
  <si>
    <t>The player played in all 162 games during the 2023 season.</t>
  </si>
  <si>
    <t>The foul pole is located in fair territory and is used to judge home runs.</t>
  </si>
  <si>
    <t>The foul pole marks foul territory and any ball that hits it is ruled foul.</t>
  </si>
  <si>
    <t>The veteran right-hander has not given up a home run in his last six starts.</t>
  </si>
  <si>
    <t>The pitcher has gone six consecutive starts without allowing a homer.</t>
  </si>
  <si>
    <t>The batter hit a triple off the wall in deep center field.</t>
  </si>
  <si>
    <t>The ball was hit into deep center, and the runner advanced all the way to third base.</t>
  </si>
  <si>
    <t>The manager called for a hit-and-run with one out and a fast runner on first.</t>
  </si>
  <si>
    <t>A hit-and-run play was executed with one out and a speedy baserunner.</t>
  </si>
  <si>
    <t>The umpire’s call was confirmed after video review showed the tag was applied in time.</t>
  </si>
  <si>
    <t>The replay upheld the ruling that the runner was out on the tag.</t>
  </si>
  <si>
    <t>The closer earned his 30th save of the season with a perfect ninth inning.</t>
  </si>
  <si>
    <t>That save marked the pitcher’s 30th of the year as he retired all three batters in order.</t>
  </si>
  <si>
    <t>Fans attending games at Wrigley Field often deal with unpredictable wind conditions.</t>
  </si>
  <si>
    <t>Batters at Coors Field tend to benefit from the thin, dry air at high altitude.</t>
  </si>
  <si>
    <t>The team unveiled its new mascot at the beginning of the season to engage younger fans.</t>
  </si>
  <si>
    <t>The front office announced a ticket pricing restructure for weekday games.</t>
  </si>
  <si>
    <t>While some players use eye black to reduce glare, others use it as a style choice.</t>
  </si>
  <si>
    <t>Several pitchers prefer wearing sunglasses in day games, depending on the conditions.</t>
  </si>
  <si>
    <t>The player signed a one-year contract with the Twins during the offseason.</t>
  </si>
  <si>
    <t>Meanwhile, another outfielder inked a two-year deal with the Blue Jays.</t>
  </si>
  <si>
    <t>The left fielder missed several games after tweaking his hamstring.</t>
  </si>
  <si>
    <t>The team’s new hitting coach emphasized swing mechanics during practice.</t>
  </si>
  <si>
    <t>The batter was ejected for arguing balls and strikes in the fourth inning.</t>
  </si>
  <si>
    <t>The batter stayed in the game and hit a home run in the seventh inning.</t>
  </si>
  <si>
    <t>The pitcher issued a walk on four straight balls.</t>
  </si>
  <si>
    <t>The pitcher struck the batter out on three pitches.</t>
  </si>
  <si>
    <t>Left-handed pitchers generally have an advantage against left-handed hitters.</t>
  </si>
  <si>
    <t>Left-handed pitchers are consistently less effective against left-handed batters.</t>
  </si>
  <si>
    <t>The umpire called the runner out at home plate.</t>
  </si>
  <si>
    <t>The runner was clearly ruled safe after sliding under the tag.</t>
  </si>
  <si>
    <t>The game ended in a 3–3 tie due to darkness after ten innings.</t>
  </si>
  <si>
    <t>The home team won 5–3 in the eleventh inning.</t>
  </si>
  <si>
    <t>The outfielder caught the fly ball just before it reached the wall.</t>
  </si>
  <si>
    <t>The ball was caught by the outfielder on the warning track.</t>
  </si>
  <si>
    <t>The batter hit a deep fly to right-center that was hauled in for the third out.</t>
  </si>
  <si>
    <t>The third out was recorded on a fly ball to right-center field.</t>
  </si>
  <si>
    <t>After a wild pitch, the runner advanced from second to third.</t>
  </si>
  <si>
    <t>The wild pitch allowed the baserunner to reach third base.</t>
  </si>
  <si>
    <t>The team won the division title with a record of 97–65.</t>
  </si>
  <si>
    <t>Their 97–65 record earned them the top spot in the division standings.</t>
  </si>
  <si>
    <t>The rookie’s walk-off single in the tenth inning gave his team the win.</t>
  </si>
  <si>
    <t>The rookie ended the game with a base hit in the bottom of the tenth.</t>
  </si>
  <si>
    <t>The team held a fan appreciation night featuring giveaways and postgame fireworks.</t>
  </si>
  <si>
    <t>The franchise opened a museum exhibit highlighting its championship history.</t>
  </si>
  <si>
    <t>Most infielders use gloves with shallow pockets for quick transfers.</t>
  </si>
  <si>
    <t>Outfielders typically prefer gloves with deeper pockets for catching fly balls.</t>
  </si>
  <si>
    <t>The team’s spring training facility is located in Arizona.</t>
  </si>
  <si>
    <t>Their main stadium for regular season games is in New York.</t>
  </si>
  <si>
    <t>A new scoreboard was installed before the season to enhance fan experience.</t>
  </si>
  <si>
    <t>Several teams upgraded their training equipment during the offseason.</t>
  </si>
  <si>
    <t>The catcher worked with the pitching staff during bullpen sessions.</t>
  </si>
  <si>
    <t>The outfield coach led a positioning drill on cutoff throws.</t>
  </si>
  <si>
    <t>The batter hit a grand slam in the bottom of the ninth to win the game.</t>
  </si>
  <si>
    <t>The batter struck out with the bases loaded to end the game.</t>
  </si>
  <si>
    <t>The ballpark’s dimensions include a 420-foot center field wall.</t>
  </si>
  <si>
    <t>The ballpark’s deepest part is only 390 feet from home plate.</t>
  </si>
  <si>
    <t>The outfielder caught the ball in foul territory for the second out.</t>
  </si>
  <si>
    <t>The outfielder dropped the foul ball, and the batter stayed alive.</t>
  </si>
  <si>
    <t>A run cannot be scored on a third out made by a force play.</t>
  </si>
  <si>
    <t>A run is always counted even on a force out to end the inning.</t>
  </si>
  <si>
    <t>The team won every home game in April.</t>
  </si>
  <si>
    <t>The team lost multiple games at home during the month of April.</t>
  </si>
  <si>
    <t>The runner stole second base without a throw from the catcher.</t>
  </si>
  <si>
    <t>The catcher chose not to attempt a throw as the runner took second.</t>
  </si>
  <si>
    <t>The player returned from injury and hit a double in his first at-bat.</t>
  </si>
  <si>
    <t>After recovering, the player doubled in his first plate appearance.</t>
  </si>
  <si>
    <t>The closer struck out the final batter to end the game.</t>
  </si>
  <si>
    <t>The game ended with a swinging strikeout by the last hitter.</t>
  </si>
  <si>
    <t>The left-handed reliever was brought in to face a string of left-handed batters.</t>
  </si>
  <si>
    <t>The manager used the lefty specialist to match up against lefty hitters.</t>
  </si>
  <si>
    <t>The umpire signaled the infield fly rule after the pop-up was hit.</t>
  </si>
  <si>
    <t>The pop-up was ruled an infield fly and the batter was automatically out.</t>
  </si>
  <si>
    <t>The team hosted a charity softball game during the All-Star break.</t>
  </si>
  <si>
    <t>The front office organized a season ticket holder Q&amp;A in the offseason.</t>
  </si>
  <si>
    <t>Some ballparks use natural grass while others have artificial turf.</t>
  </si>
  <si>
    <t>Teams across the league vary in the materials used for their playing surfaces.</t>
  </si>
  <si>
    <t>A player’s uniform number is often retired after a legendary career.</t>
  </si>
  <si>
    <t>Players sometimes switch numbers when joining a new team.</t>
  </si>
  <si>
    <t>The scoreboard malfunctioned during the fourth inning and displayed the wrong count.</t>
  </si>
  <si>
    <t>A drone flew over the stadium in the seventh inning, drawing attention.</t>
  </si>
  <si>
    <t>While pitchers focus on velocity and command, hitters emphasize timing and balance.</t>
  </si>
  <si>
    <t>Pitchers and hitters often train separately during spring drills.</t>
  </si>
  <si>
    <t>In probability theory, a fair coin has an equal chance of landing heads or 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</si>
</sst>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Times New Roman"/>
      <family val="1"/>
    </font>
    <font>
      <sz val="8"/>
      <color rgb="FF23262F"/>
      <name val="Courier New"/>
      <family val="3"/>
    </font>
    <font>
      <sz val="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42567-7798-498F-B661-73CB1A33D822}">
  <dimension ref="A1:I2582"/>
  <sheetViews>
    <sheetView tabSelected="1" topLeftCell="A2561" zoomScale="84" zoomScaleNormal="85" workbookViewId="0">
      <selection activeCell="A7" sqref="A7"/>
    </sheetView>
  </sheetViews>
  <sheetFormatPr defaultRowHeight="14.6" x14ac:dyDescent="0.4"/>
  <cols>
    <col min="1" max="1" width="62.61328125" customWidth="1"/>
    <col min="2" max="2" width="66.84375" customWidth="1"/>
    <col min="3" max="3" width="11.765625" bestFit="1" customWidth="1"/>
    <col min="4" max="4" width="18.84375" bestFit="1" customWidth="1"/>
    <col min="5" max="5" width="17.4609375" customWidth="1"/>
    <col min="6" max="6" width="28.84375" customWidth="1"/>
    <col min="7" max="7" width="24.61328125" customWidth="1"/>
  </cols>
  <sheetData>
    <row r="1" spans="1:8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17</v>
      </c>
      <c r="F1" s="1" t="s">
        <v>4240</v>
      </c>
      <c r="G1" s="1" t="s">
        <v>4239</v>
      </c>
      <c r="H1" s="1"/>
    </row>
    <row r="2" spans="1:8" x14ac:dyDescent="0.4">
      <c r="A2" s="1" t="s">
        <v>4</v>
      </c>
      <c r="B2" s="1" t="s">
        <v>5</v>
      </c>
      <c r="C2" s="1" t="s">
        <v>6</v>
      </c>
      <c r="D2" s="1" t="s">
        <v>7</v>
      </c>
      <c r="E2" s="1" t="s">
        <v>18</v>
      </c>
    </row>
    <row r="3" spans="1:8" x14ac:dyDescent="0.4">
      <c r="A3" s="1" t="s">
        <v>8</v>
      </c>
      <c r="B3" s="1" t="s">
        <v>9</v>
      </c>
      <c r="C3" s="1" t="s">
        <v>6</v>
      </c>
      <c r="D3" s="1" t="s">
        <v>10</v>
      </c>
      <c r="E3" s="1" t="s">
        <v>18</v>
      </c>
    </row>
    <row r="4" spans="1:8" x14ac:dyDescent="0.4">
      <c r="A4" s="1" t="s">
        <v>11</v>
      </c>
      <c r="B4" s="1" t="s">
        <v>12</v>
      </c>
      <c r="C4" s="1" t="s">
        <v>6</v>
      </c>
      <c r="D4" s="1" t="s">
        <v>13</v>
      </c>
      <c r="E4" s="1" t="s">
        <v>18</v>
      </c>
    </row>
    <row r="5" spans="1:8" x14ac:dyDescent="0.4">
      <c r="A5" s="1" t="s">
        <v>14</v>
      </c>
      <c r="B5" s="1" t="s">
        <v>15</v>
      </c>
      <c r="C5" s="1" t="s">
        <v>6</v>
      </c>
      <c r="D5" s="1" t="s">
        <v>16</v>
      </c>
      <c r="E5" s="1" t="s">
        <v>18</v>
      </c>
    </row>
    <row r="6" spans="1:8" x14ac:dyDescent="0.4">
      <c r="A6" s="1" t="s">
        <v>19</v>
      </c>
      <c r="B6" s="1" t="s">
        <v>20</v>
      </c>
      <c r="C6" s="1" t="s">
        <v>6</v>
      </c>
      <c r="D6" s="1" t="s">
        <v>21</v>
      </c>
      <c r="E6" s="1" t="s">
        <v>18</v>
      </c>
    </row>
    <row r="7" spans="1:8" x14ac:dyDescent="0.4">
      <c r="A7" s="1" t="s">
        <v>22</v>
      </c>
      <c r="B7" s="1" t="s">
        <v>23</v>
      </c>
      <c r="C7" s="1" t="s">
        <v>6</v>
      </c>
      <c r="D7" s="1" t="s">
        <v>24</v>
      </c>
      <c r="E7" s="1" t="s">
        <v>18</v>
      </c>
    </row>
    <row r="8" spans="1:8" x14ac:dyDescent="0.4">
      <c r="A8" s="1" t="s">
        <v>25</v>
      </c>
      <c r="B8" s="1" t="s">
        <v>26</v>
      </c>
      <c r="C8" s="1" t="s">
        <v>6</v>
      </c>
      <c r="D8" s="1" t="s">
        <v>27</v>
      </c>
      <c r="E8" s="1" t="s">
        <v>18</v>
      </c>
    </row>
    <row r="9" spans="1:8" x14ac:dyDescent="0.4">
      <c r="A9" s="1" t="s">
        <v>28</v>
      </c>
      <c r="B9" s="1" t="s">
        <v>29</v>
      </c>
      <c r="C9" s="1" t="s">
        <v>6</v>
      </c>
      <c r="D9" s="1" t="s">
        <v>30</v>
      </c>
      <c r="E9" s="1" t="s">
        <v>18</v>
      </c>
    </row>
    <row r="10" spans="1:8" x14ac:dyDescent="0.4">
      <c r="A10" s="1" t="s">
        <v>31</v>
      </c>
      <c r="B10" s="1" t="s">
        <v>32</v>
      </c>
      <c r="C10" s="1" t="s">
        <v>6</v>
      </c>
      <c r="D10" s="1" t="s">
        <v>33</v>
      </c>
      <c r="E10" s="1" t="s">
        <v>18</v>
      </c>
    </row>
    <row r="11" spans="1:8" x14ac:dyDescent="0.4">
      <c r="A11" s="1" t="s">
        <v>34</v>
      </c>
      <c r="B11" s="1" t="s">
        <v>35</v>
      </c>
      <c r="C11" s="1" t="s">
        <v>6</v>
      </c>
      <c r="D11" s="1" t="s">
        <v>36</v>
      </c>
      <c r="E11" s="1" t="s">
        <v>18</v>
      </c>
    </row>
    <row r="12" spans="1:8" x14ac:dyDescent="0.4">
      <c r="A12" s="1" t="s">
        <v>37</v>
      </c>
      <c r="B12" s="1" t="s">
        <v>38</v>
      </c>
      <c r="C12" s="1" t="s">
        <v>39</v>
      </c>
      <c r="D12" s="1"/>
      <c r="E12" s="1" t="s">
        <v>18</v>
      </c>
    </row>
    <row r="13" spans="1:8" x14ac:dyDescent="0.4">
      <c r="A13" s="1" t="s">
        <v>40</v>
      </c>
      <c r="B13" s="1" t="s">
        <v>41</v>
      </c>
      <c r="C13" s="1" t="s">
        <v>39</v>
      </c>
      <c r="D13" s="1"/>
      <c r="E13" s="1" t="s">
        <v>18</v>
      </c>
    </row>
    <row r="14" spans="1:8" x14ac:dyDescent="0.4">
      <c r="A14" s="1" t="s">
        <v>42</v>
      </c>
      <c r="B14" s="1" t="s">
        <v>43</v>
      </c>
      <c r="C14" s="1" t="s">
        <v>39</v>
      </c>
      <c r="D14" s="1"/>
      <c r="E14" s="1" t="s">
        <v>18</v>
      </c>
    </row>
    <row r="15" spans="1:8" x14ac:dyDescent="0.4">
      <c r="A15" s="1" t="s">
        <v>44</v>
      </c>
      <c r="B15" s="1" t="s">
        <v>45</v>
      </c>
      <c r="C15" s="1" t="s">
        <v>39</v>
      </c>
      <c r="D15" s="1"/>
      <c r="E15" s="1" t="s">
        <v>18</v>
      </c>
    </row>
    <row r="16" spans="1:8" x14ac:dyDescent="0.4">
      <c r="A16" s="1" t="s">
        <v>46</v>
      </c>
      <c r="B16" s="1" t="s">
        <v>47</v>
      </c>
      <c r="C16" s="1" t="s">
        <v>39</v>
      </c>
      <c r="D16" s="1"/>
      <c r="E16" s="1" t="s">
        <v>18</v>
      </c>
    </row>
    <row r="17" spans="1:8" x14ac:dyDescent="0.4">
      <c r="A17" s="1" t="s">
        <v>48</v>
      </c>
      <c r="B17" s="1" t="s">
        <v>49</v>
      </c>
      <c r="C17" s="1" t="s">
        <v>39</v>
      </c>
      <c r="D17" s="1"/>
      <c r="E17" s="1" t="s">
        <v>18</v>
      </c>
    </row>
    <row r="18" spans="1:8" x14ac:dyDescent="0.4">
      <c r="A18" s="1" t="s">
        <v>50</v>
      </c>
      <c r="B18" s="1" t="s">
        <v>51</v>
      </c>
      <c r="C18" s="1" t="s">
        <v>39</v>
      </c>
      <c r="D18" s="1"/>
      <c r="E18" s="1" t="s">
        <v>18</v>
      </c>
    </row>
    <row r="19" spans="1:8" x14ac:dyDescent="0.4">
      <c r="A19" s="1" t="s">
        <v>52</v>
      </c>
      <c r="B19" s="1" t="s">
        <v>53</v>
      </c>
      <c r="C19" s="1" t="s">
        <v>39</v>
      </c>
      <c r="D19" s="1"/>
      <c r="E19" s="1" t="s">
        <v>18</v>
      </c>
    </row>
    <row r="20" spans="1:8" x14ac:dyDescent="0.4">
      <c r="A20" s="1" t="s">
        <v>54</v>
      </c>
      <c r="B20" s="1" t="s">
        <v>55</v>
      </c>
      <c r="C20" s="1" t="s">
        <v>56</v>
      </c>
      <c r="D20" s="1"/>
      <c r="E20" s="1" t="s">
        <v>18</v>
      </c>
    </row>
    <row r="21" spans="1:8" x14ac:dyDescent="0.4">
      <c r="A21" s="1" t="s">
        <v>57</v>
      </c>
      <c r="B21" s="1" t="s">
        <v>58</v>
      </c>
      <c r="C21" s="1" t="s">
        <v>56</v>
      </c>
      <c r="D21" s="1"/>
      <c r="E21" s="1" t="s">
        <v>18</v>
      </c>
      <c r="F21" s="1"/>
      <c r="G21" s="1"/>
      <c r="H21" s="1"/>
    </row>
    <row r="22" spans="1:8" x14ac:dyDescent="0.4">
      <c r="A22" s="1" t="s">
        <v>59</v>
      </c>
      <c r="B22" s="1" t="s">
        <v>60</v>
      </c>
      <c r="C22" s="1" t="s">
        <v>56</v>
      </c>
      <c r="D22" s="1"/>
      <c r="E22" s="1" t="s">
        <v>18</v>
      </c>
      <c r="F22" s="1"/>
      <c r="G22" s="1"/>
      <c r="H22" s="1"/>
    </row>
    <row r="23" spans="1:8" x14ac:dyDescent="0.4">
      <c r="A23" s="1" t="s">
        <v>61</v>
      </c>
      <c r="B23" s="1" t="s">
        <v>62</v>
      </c>
      <c r="C23" s="1" t="s">
        <v>56</v>
      </c>
      <c r="D23" s="1"/>
      <c r="E23" s="1" t="s">
        <v>18</v>
      </c>
      <c r="F23" s="1"/>
      <c r="G23" s="1"/>
      <c r="H23" s="1"/>
    </row>
    <row r="24" spans="1:8" x14ac:dyDescent="0.4">
      <c r="A24" s="1" t="s">
        <v>63</v>
      </c>
      <c r="B24" s="1" t="s">
        <v>64</v>
      </c>
      <c r="C24" s="1" t="s">
        <v>56</v>
      </c>
      <c r="D24" s="1"/>
      <c r="E24" s="1" t="s">
        <v>18</v>
      </c>
      <c r="F24" s="1"/>
      <c r="G24" s="1"/>
      <c r="H24" s="1"/>
    </row>
    <row r="25" spans="1:8" x14ac:dyDescent="0.4">
      <c r="A25" s="1" t="s">
        <v>65</v>
      </c>
      <c r="B25" s="1" t="s">
        <v>66</v>
      </c>
      <c r="C25" s="1" t="s">
        <v>56</v>
      </c>
      <c r="D25" s="1"/>
      <c r="E25" s="1" t="s">
        <v>18</v>
      </c>
      <c r="F25" s="1"/>
      <c r="G25" s="1"/>
      <c r="H25" s="1"/>
    </row>
    <row r="26" spans="1:8" x14ac:dyDescent="0.4">
      <c r="A26" s="1" t="s">
        <v>67</v>
      </c>
      <c r="B26" s="1" t="s">
        <v>68</v>
      </c>
      <c r="C26" s="1" t="s">
        <v>56</v>
      </c>
      <c r="D26" s="1"/>
      <c r="E26" s="1" t="s">
        <v>18</v>
      </c>
    </row>
    <row r="27" spans="1:8" x14ac:dyDescent="0.4">
      <c r="A27" s="1" t="s">
        <v>69</v>
      </c>
      <c r="B27" s="1" t="s">
        <v>70</v>
      </c>
      <c r="C27" s="1" t="s">
        <v>56</v>
      </c>
      <c r="D27" s="1"/>
      <c r="E27" s="1" t="s">
        <v>18</v>
      </c>
    </row>
    <row r="28" spans="1:8" x14ac:dyDescent="0.4">
      <c r="A28" s="1" t="s">
        <v>71</v>
      </c>
      <c r="B28" s="1" t="s">
        <v>72</v>
      </c>
      <c r="C28" s="1" t="s">
        <v>6</v>
      </c>
      <c r="D28" s="1" t="s">
        <v>24</v>
      </c>
      <c r="E28" s="1" t="s">
        <v>18</v>
      </c>
    </row>
    <row r="29" spans="1:8" x14ac:dyDescent="0.4">
      <c r="A29" s="1" t="s">
        <v>73</v>
      </c>
      <c r="B29" s="1" t="s">
        <v>74</v>
      </c>
      <c r="C29" s="1" t="s">
        <v>6</v>
      </c>
      <c r="D29" s="1" t="s">
        <v>7</v>
      </c>
      <c r="E29" s="1" t="s">
        <v>18</v>
      </c>
    </row>
    <row r="30" spans="1:8" x14ac:dyDescent="0.4">
      <c r="A30" s="1" t="s">
        <v>75</v>
      </c>
      <c r="B30" s="1" t="s">
        <v>76</v>
      </c>
      <c r="C30" s="1" t="s">
        <v>6</v>
      </c>
      <c r="D30" s="1" t="s">
        <v>10</v>
      </c>
      <c r="E30" s="1" t="s">
        <v>18</v>
      </c>
    </row>
    <row r="31" spans="1:8" x14ac:dyDescent="0.4">
      <c r="A31" s="1" t="s">
        <v>77</v>
      </c>
      <c r="B31" s="1" t="s">
        <v>78</v>
      </c>
      <c r="C31" s="1" t="s">
        <v>6</v>
      </c>
      <c r="D31" s="1" t="s">
        <v>16</v>
      </c>
      <c r="E31" s="1" t="s">
        <v>18</v>
      </c>
    </row>
    <row r="32" spans="1:8" x14ac:dyDescent="0.4">
      <c r="A32" s="1" t="s">
        <v>79</v>
      </c>
      <c r="B32" s="1" t="s">
        <v>80</v>
      </c>
      <c r="C32" s="1" t="s">
        <v>6</v>
      </c>
      <c r="D32" s="1" t="s">
        <v>21</v>
      </c>
      <c r="E32" s="1" t="s">
        <v>18</v>
      </c>
    </row>
    <row r="33" spans="1:5" x14ac:dyDescent="0.4">
      <c r="A33" s="1" t="s">
        <v>81</v>
      </c>
      <c r="B33" s="1" t="s">
        <v>82</v>
      </c>
      <c r="C33" s="1" t="s">
        <v>6</v>
      </c>
      <c r="D33" s="1" t="s">
        <v>36</v>
      </c>
      <c r="E33" s="1" t="s">
        <v>18</v>
      </c>
    </row>
    <row r="34" spans="1:5" x14ac:dyDescent="0.4">
      <c r="A34" s="1" t="s">
        <v>83</v>
      </c>
      <c r="B34" s="1" t="s">
        <v>84</v>
      </c>
      <c r="C34" s="1" t="s">
        <v>6</v>
      </c>
      <c r="D34" s="1" t="s">
        <v>24</v>
      </c>
      <c r="E34" s="1" t="s">
        <v>18</v>
      </c>
    </row>
    <row r="35" spans="1:5" x14ac:dyDescent="0.4">
      <c r="A35" s="1" t="s">
        <v>85</v>
      </c>
      <c r="B35" s="1" t="s">
        <v>86</v>
      </c>
      <c r="C35" s="1" t="s">
        <v>6</v>
      </c>
      <c r="D35" s="1" t="s">
        <v>30</v>
      </c>
      <c r="E35" s="1" t="s">
        <v>18</v>
      </c>
    </row>
    <row r="36" spans="1:5" x14ac:dyDescent="0.4">
      <c r="A36" s="1" t="s">
        <v>87</v>
      </c>
      <c r="B36" s="1" t="s">
        <v>88</v>
      </c>
      <c r="C36" s="1" t="s">
        <v>6</v>
      </c>
      <c r="D36" s="1" t="s">
        <v>33</v>
      </c>
      <c r="E36" s="1" t="s">
        <v>18</v>
      </c>
    </row>
    <row r="37" spans="1:5" x14ac:dyDescent="0.4">
      <c r="A37" s="1" t="s">
        <v>89</v>
      </c>
      <c r="B37" s="1" t="s">
        <v>90</v>
      </c>
      <c r="C37" s="1" t="s">
        <v>6</v>
      </c>
      <c r="D37" s="1" t="s">
        <v>27</v>
      </c>
      <c r="E37" s="1" t="s">
        <v>18</v>
      </c>
    </row>
    <row r="38" spans="1:5" x14ac:dyDescent="0.4">
      <c r="A38" s="1" t="s">
        <v>91</v>
      </c>
      <c r="B38" s="1" t="s">
        <v>92</v>
      </c>
      <c r="C38" s="1" t="s">
        <v>39</v>
      </c>
      <c r="D38" s="1"/>
      <c r="E38" s="1" t="s">
        <v>18</v>
      </c>
    </row>
    <row r="39" spans="1:5" x14ac:dyDescent="0.4">
      <c r="A39" s="1" t="s">
        <v>93</v>
      </c>
      <c r="B39" s="1" t="s">
        <v>94</v>
      </c>
      <c r="C39" s="1" t="s">
        <v>39</v>
      </c>
      <c r="D39" s="1"/>
      <c r="E39" s="1" t="s">
        <v>18</v>
      </c>
    </row>
    <row r="40" spans="1:5" x14ac:dyDescent="0.4">
      <c r="A40" s="1" t="s">
        <v>95</v>
      </c>
      <c r="B40" s="1" t="s">
        <v>96</v>
      </c>
      <c r="C40" s="1" t="s">
        <v>39</v>
      </c>
      <c r="D40" s="1"/>
      <c r="E40" s="1" t="s">
        <v>18</v>
      </c>
    </row>
    <row r="41" spans="1:5" x14ac:dyDescent="0.4">
      <c r="A41" s="1" t="s">
        <v>97</v>
      </c>
      <c r="B41" s="1" t="s">
        <v>98</v>
      </c>
      <c r="C41" s="1" t="s">
        <v>39</v>
      </c>
      <c r="D41" s="1"/>
      <c r="E41" s="1" t="s">
        <v>18</v>
      </c>
    </row>
    <row r="42" spans="1:5" x14ac:dyDescent="0.4">
      <c r="A42" s="1" t="s">
        <v>99</v>
      </c>
      <c r="B42" s="1" t="s">
        <v>100</v>
      </c>
      <c r="C42" s="1" t="s">
        <v>39</v>
      </c>
      <c r="D42" s="1"/>
      <c r="E42" s="1" t="s">
        <v>18</v>
      </c>
    </row>
    <row r="43" spans="1:5" x14ac:dyDescent="0.4">
      <c r="A43" s="1" t="s">
        <v>101</v>
      </c>
      <c r="B43" s="1" t="s">
        <v>102</v>
      </c>
      <c r="C43" s="1" t="s">
        <v>39</v>
      </c>
      <c r="D43" s="1"/>
      <c r="E43" s="1" t="s">
        <v>18</v>
      </c>
    </row>
    <row r="44" spans="1:5" x14ac:dyDescent="0.4">
      <c r="A44" s="1" t="s">
        <v>103</v>
      </c>
      <c r="B44" s="1" t="s">
        <v>104</v>
      </c>
      <c r="C44" s="1" t="s">
        <v>39</v>
      </c>
      <c r="D44" s="1"/>
      <c r="E44" s="1" t="s">
        <v>18</v>
      </c>
    </row>
    <row r="45" spans="1:5" x14ac:dyDescent="0.4">
      <c r="A45" s="1" t="s">
        <v>105</v>
      </c>
      <c r="B45" s="1" t="s">
        <v>106</v>
      </c>
      <c r="C45" s="1" t="s">
        <v>39</v>
      </c>
      <c r="D45" s="1"/>
      <c r="E45" s="1" t="s">
        <v>18</v>
      </c>
    </row>
    <row r="46" spans="1:5" x14ac:dyDescent="0.4">
      <c r="A46" s="1" t="s">
        <v>107</v>
      </c>
      <c r="B46" s="1" t="s">
        <v>108</v>
      </c>
      <c r="C46" s="1" t="s">
        <v>56</v>
      </c>
      <c r="D46" s="1"/>
      <c r="E46" s="1" t="s">
        <v>18</v>
      </c>
    </row>
    <row r="47" spans="1:5" x14ac:dyDescent="0.4">
      <c r="A47" s="1" t="s">
        <v>109</v>
      </c>
      <c r="B47" s="1" t="s">
        <v>110</v>
      </c>
      <c r="C47" s="1" t="s">
        <v>56</v>
      </c>
      <c r="D47" s="1"/>
      <c r="E47" s="1" t="s">
        <v>18</v>
      </c>
    </row>
    <row r="48" spans="1:5" x14ac:dyDescent="0.4">
      <c r="A48" s="1" t="s">
        <v>111</v>
      </c>
      <c r="B48" s="1" t="s">
        <v>112</v>
      </c>
      <c r="C48" s="1" t="s">
        <v>56</v>
      </c>
      <c r="D48" s="1"/>
      <c r="E48" s="1" t="s">
        <v>18</v>
      </c>
    </row>
    <row r="49" spans="1:5" x14ac:dyDescent="0.4">
      <c r="A49" s="1" t="s">
        <v>113</v>
      </c>
      <c r="B49" s="1" t="s">
        <v>114</v>
      </c>
      <c r="C49" s="1" t="s">
        <v>56</v>
      </c>
      <c r="D49" s="1"/>
      <c r="E49" s="1" t="s">
        <v>18</v>
      </c>
    </row>
    <row r="50" spans="1:5" x14ac:dyDescent="0.4">
      <c r="A50" s="1" t="s">
        <v>115</v>
      </c>
      <c r="B50" s="1" t="s">
        <v>116</v>
      </c>
      <c r="C50" s="1" t="s">
        <v>56</v>
      </c>
      <c r="D50" s="1"/>
      <c r="E50" s="1" t="s">
        <v>18</v>
      </c>
    </row>
    <row r="51" spans="1:5" x14ac:dyDescent="0.4">
      <c r="A51" s="1" t="s">
        <v>117</v>
      </c>
      <c r="B51" s="1" t="s">
        <v>118</v>
      </c>
      <c r="C51" s="1" t="s">
        <v>56</v>
      </c>
      <c r="D51" s="1"/>
      <c r="E51" s="1" t="s">
        <v>18</v>
      </c>
    </row>
    <row r="52" spans="1:5" x14ac:dyDescent="0.4">
      <c r="A52" s="1" t="s">
        <v>119</v>
      </c>
      <c r="B52" s="1" t="s">
        <v>120</v>
      </c>
      <c r="C52" s="1" t="s">
        <v>56</v>
      </c>
      <c r="D52" s="1"/>
      <c r="E52" s="1" t="s">
        <v>18</v>
      </c>
    </row>
    <row r="53" spans="1:5" x14ac:dyDescent="0.4">
      <c r="A53" s="1" t="s">
        <v>121</v>
      </c>
      <c r="B53" s="1" t="s">
        <v>122</v>
      </c>
      <c r="C53" s="1" t="s">
        <v>56</v>
      </c>
      <c r="D53" s="1"/>
      <c r="E53" s="1" t="s">
        <v>18</v>
      </c>
    </row>
    <row r="54" spans="1:5" x14ac:dyDescent="0.4">
      <c r="A54" s="1" t="s">
        <v>123</v>
      </c>
      <c r="B54" s="1" t="s">
        <v>124</v>
      </c>
      <c r="C54" s="1" t="s">
        <v>6</v>
      </c>
      <c r="D54" s="1" t="s">
        <v>36</v>
      </c>
      <c r="E54" s="1" t="s">
        <v>125</v>
      </c>
    </row>
    <row r="55" spans="1:5" x14ac:dyDescent="0.4">
      <c r="A55" s="1" t="s">
        <v>126</v>
      </c>
      <c r="B55" s="1" t="s">
        <v>127</v>
      </c>
      <c r="C55" s="1" t="s">
        <v>6</v>
      </c>
      <c r="D55" s="1" t="s">
        <v>24</v>
      </c>
      <c r="E55" s="1" t="s">
        <v>156</v>
      </c>
    </row>
    <row r="56" spans="1:5" x14ac:dyDescent="0.4">
      <c r="A56" s="1" t="s">
        <v>128</v>
      </c>
      <c r="B56" s="1" t="s">
        <v>129</v>
      </c>
      <c r="C56" s="1" t="s">
        <v>6</v>
      </c>
      <c r="D56" s="1" t="s">
        <v>24</v>
      </c>
      <c r="E56" s="1" t="s">
        <v>130</v>
      </c>
    </row>
    <row r="57" spans="1:5" x14ac:dyDescent="0.4">
      <c r="A57" s="1" t="s">
        <v>131</v>
      </c>
      <c r="B57" s="1" t="s">
        <v>132</v>
      </c>
      <c r="C57" s="1" t="s">
        <v>6</v>
      </c>
      <c r="D57" s="1" t="s">
        <v>36</v>
      </c>
      <c r="E57" s="1" t="s">
        <v>18</v>
      </c>
    </row>
    <row r="58" spans="1:5" x14ac:dyDescent="0.4">
      <c r="A58" s="1" t="s">
        <v>133</v>
      </c>
      <c r="B58" s="1" t="s">
        <v>134</v>
      </c>
      <c r="C58" s="1" t="s">
        <v>6</v>
      </c>
      <c r="D58" s="1" t="s">
        <v>36</v>
      </c>
      <c r="E58" s="1" t="s">
        <v>135</v>
      </c>
    </row>
    <row r="59" spans="1:5" x14ac:dyDescent="0.4">
      <c r="A59" s="1" t="s">
        <v>136</v>
      </c>
      <c r="B59" s="1" t="s">
        <v>137</v>
      </c>
      <c r="C59" s="1" t="s">
        <v>6</v>
      </c>
      <c r="D59" s="1" t="s">
        <v>36</v>
      </c>
      <c r="E59" s="1" t="s">
        <v>138</v>
      </c>
    </row>
    <row r="60" spans="1:5" x14ac:dyDescent="0.4">
      <c r="A60" s="1" t="s">
        <v>139</v>
      </c>
      <c r="B60" s="1" t="s">
        <v>140</v>
      </c>
      <c r="C60" s="1" t="s">
        <v>39</v>
      </c>
      <c r="D60" s="1"/>
      <c r="E60" s="1" t="s">
        <v>204</v>
      </c>
    </row>
    <row r="61" spans="1:5" x14ac:dyDescent="0.4">
      <c r="A61" s="1" t="s">
        <v>141</v>
      </c>
      <c r="B61" s="1" t="s">
        <v>142</v>
      </c>
      <c r="C61" s="1" t="s">
        <v>39</v>
      </c>
      <c r="D61" s="1"/>
      <c r="E61" s="1" t="s">
        <v>143</v>
      </c>
    </row>
    <row r="62" spans="1:5" x14ac:dyDescent="0.4">
      <c r="A62" s="1" t="s">
        <v>144</v>
      </c>
      <c r="B62" s="1" t="s">
        <v>145</v>
      </c>
      <c r="C62" s="1" t="s">
        <v>39</v>
      </c>
      <c r="D62" s="1"/>
      <c r="E62" s="1" t="s">
        <v>125</v>
      </c>
    </row>
    <row r="63" spans="1:5" x14ac:dyDescent="0.4">
      <c r="A63" s="1" t="s">
        <v>146</v>
      </c>
      <c r="B63" s="1" t="s">
        <v>147</v>
      </c>
      <c r="C63" s="1" t="s">
        <v>39</v>
      </c>
      <c r="D63" s="1"/>
      <c r="E63" s="1" t="s">
        <v>148</v>
      </c>
    </row>
    <row r="64" spans="1:5" x14ac:dyDescent="0.4">
      <c r="A64" s="1" t="s">
        <v>149</v>
      </c>
      <c r="B64" s="1" t="s">
        <v>150</v>
      </c>
      <c r="C64" s="1" t="s">
        <v>39</v>
      </c>
      <c r="D64" s="1"/>
      <c r="E64" s="1" t="s">
        <v>151</v>
      </c>
    </row>
    <row r="65" spans="1:5" x14ac:dyDescent="0.4">
      <c r="A65" s="1" t="s">
        <v>152</v>
      </c>
      <c r="B65" s="1" t="s">
        <v>153</v>
      </c>
      <c r="C65" s="1" t="s">
        <v>39</v>
      </c>
      <c r="D65" s="1"/>
      <c r="E65" s="1" t="s">
        <v>151</v>
      </c>
    </row>
    <row r="66" spans="1:5" x14ac:dyDescent="0.4">
      <c r="A66" s="1" t="s">
        <v>154</v>
      </c>
      <c r="B66" s="1" t="s">
        <v>155</v>
      </c>
      <c r="C66" s="1" t="s">
        <v>56</v>
      </c>
      <c r="D66" s="1"/>
      <c r="E66" s="1" t="s">
        <v>156</v>
      </c>
    </row>
    <row r="67" spans="1:5" x14ac:dyDescent="0.4">
      <c r="A67" s="1" t="s">
        <v>157</v>
      </c>
      <c r="B67" s="1" t="s">
        <v>158</v>
      </c>
      <c r="C67" s="1" t="s">
        <v>56</v>
      </c>
      <c r="D67" s="1"/>
      <c r="E67" s="1" t="s">
        <v>18</v>
      </c>
    </row>
    <row r="68" spans="1:5" x14ac:dyDescent="0.4">
      <c r="A68" s="1" t="s">
        <v>159</v>
      </c>
      <c r="B68" s="1" t="s">
        <v>160</v>
      </c>
      <c r="C68" s="1" t="s">
        <v>56</v>
      </c>
      <c r="D68" s="1"/>
      <c r="E68" s="1" t="s">
        <v>161</v>
      </c>
    </row>
    <row r="69" spans="1:5" x14ac:dyDescent="0.4">
      <c r="A69" s="1" t="s">
        <v>162</v>
      </c>
      <c r="B69" s="1" t="s">
        <v>163</v>
      </c>
      <c r="C69" s="1" t="s">
        <v>6</v>
      </c>
      <c r="D69" s="1" t="s">
        <v>10</v>
      </c>
      <c r="E69" s="1" t="s">
        <v>1453</v>
      </c>
    </row>
    <row r="70" spans="1:5" x14ac:dyDescent="0.4">
      <c r="A70" s="1" t="s">
        <v>164</v>
      </c>
      <c r="B70" s="1" t="s">
        <v>165</v>
      </c>
      <c r="C70" s="1" t="s">
        <v>6</v>
      </c>
      <c r="D70" s="1" t="s">
        <v>36</v>
      </c>
      <c r="E70" s="1" t="s">
        <v>166</v>
      </c>
    </row>
    <row r="71" spans="1:5" x14ac:dyDescent="0.4">
      <c r="A71" s="1" t="s">
        <v>167</v>
      </c>
      <c r="B71" s="1" t="s">
        <v>168</v>
      </c>
      <c r="C71" s="1" t="s">
        <v>6</v>
      </c>
      <c r="D71" s="1" t="s">
        <v>10</v>
      </c>
      <c r="E71" s="1" t="s">
        <v>18</v>
      </c>
    </row>
    <row r="72" spans="1:5" x14ac:dyDescent="0.4">
      <c r="A72" s="1" t="s">
        <v>169</v>
      </c>
      <c r="B72" s="1" t="s">
        <v>170</v>
      </c>
      <c r="C72" s="1" t="s">
        <v>6</v>
      </c>
      <c r="D72" s="1" t="s">
        <v>36</v>
      </c>
      <c r="E72" s="1" t="s">
        <v>138</v>
      </c>
    </row>
    <row r="73" spans="1:5" x14ac:dyDescent="0.4">
      <c r="A73" s="1" t="s">
        <v>144</v>
      </c>
      <c r="B73" s="1" t="s">
        <v>145</v>
      </c>
      <c r="C73" s="1" t="s">
        <v>39</v>
      </c>
      <c r="D73" s="1"/>
      <c r="E73" s="1" t="s">
        <v>125</v>
      </c>
    </row>
    <row r="74" spans="1:5" x14ac:dyDescent="0.4">
      <c r="A74" s="1" t="s">
        <v>171</v>
      </c>
      <c r="B74" s="1" t="s">
        <v>172</v>
      </c>
      <c r="C74" s="1" t="s">
        <v>39</v>
      </c>
      <c r="D74" s="1"/>
      <c r="E74" s="1" t="s">
        <v>135</v>
      </c>
    </row>
    <row r="75" spans="1:5" x14ac:dyDescent="0.4">
      <c r="A75" s="1" t="s">
        <v>173</v>
      </c>
      <c r="B75" s="1" t="s">
        <v>174</v>
      </c>
      <c r="C75" s="1" t="s">
        <v>39</v>
      </c>
      <c r="D75" s="1"/>
      <c r="E75" s="1" t="s">
        <v>138</v>
      </c>
    </row>
    <row r="76" spans="1:5" x14ac:dyDescent="0.4">
      <c r="A76" s="1" t="s">
        <v>175</v>
      </c>
      <c r="B76" s="1" t="s">
        <v>176</v>
      </c>
      <c r="C76" s="1" t="s">
        <v>39</v>
      </c>
      <c r="D76" s="1"/>
      <c r="E76" s="1" t="s">
        <v>143</v>
      </c>
    </row>
    <row r="77" spans="1:5" x14ac:dyDescent="0.4">
      <c r="A77" s="1" t="s">
        <v>177</v>
      </c>
      <c r="B77" s="1" t="s">
        <v>178</v>
      </c>
      <c r="C77" s="1" t="s">
        <v>39</v>
      </c>
      <c r="D77" s="1"/>
      <c r="E77" s="1" t="s">
        <v>138</v>
      </c>
    </row>
    <row r="78" spans="1:5" x14ac:dyDescent="0.4">
      <c r="A78" s="1" t="s">
        <v>154</v>
      </c>
      <c r="B78" s="1" t="s">
        <v>155</v>
      </c>
      <c r="C78" s="1" t="s">
        <v>56</v>
      </c>
      <c r="D78" s="1"/>
      <c r="E78" s="1" t="s">
        <v>156</v>
      </c>
    </row>
    <row r="79" spans="1:5" x14ac:dyDescent="0.4">
      <c r="A79" s="1" t="s">
        <v>179</v>
      </c>
      <c r="B79" s="1" t="s">
        <v>180</v>
      </c>
      <c r="C79" s="1" t="s">
        <v>56</v>
      </c>
      <c r="D79" s="1"/>
      <c r="E79" s="1" t="s">
        <v>18</v>
      </c>
    </row>
    <row r="80" spans="1:5" x14ac:dyDescent="0.4">
      <c r="A80" s="1" t="s">
        <v>181</v>
      </c>
      <c r="B80" s="1" t="s">
        <v>182</v>
      </c>
      <c r="C80" s="1" t="s">
        <v>56</v>
      </c>
      <c r="D80" s="1"/>
      <c r="E80" s="1" t="s">
        <v>156</v>
      </c>
    </row>
    <row r="81" spans="1:8" x14ac:dyDescent="0.4">
      <c r="A81" s="1" t="s">
        <v>183</v>
      </c>
      <c r="B81" s="1" t="s">
        <v>184</v>
      </c>
      <c r="C81" s="1" t="s">
        <v>56</v>
      </c>
      <c r="D81" s="1"/>
      <c r="E81" s="1" t="s">
        <v>185</v>
      </c>
    </row>
    <row r="82" spans="1:8" x14ac:dyDescent="0.4">
      <c r="A82" s="1" t="s">
        <v>186</v>
      </c>
      <c r="B82" s="1" t="s">
        <v>187</v>
      </c>
      <c r="C82" s="1" t="s">
        <v>56</v>
      </c>
      <c r="D82" s="1"/>
      <c r="E82" s="1" t="s">
        <v>166</v>
      </c>
    </row>
    <row r="83" spans="1:8" x14ac:dyDescent="0.4">
      <c r="A83" s="1" t="s">
        <v>188</v>
      </c>
      <c r="B83" s="1" t="s">
        <v>189</v>
      </c>
      <c r="C83" s="1" t="s">
        <v>56</v>
      </c>
      <c r="D83" s="1"/>
      <c r="E83" s="1" t="s">
        <v>125</v>
      </c>
    </row>
    <row r="84" spans="1:8" x14ac:dyDescent="0.4">
      <c r="A84" s="1" t="s">
        <v>190</v>
      </c>
      <c r="B84" s="1" t="s">
        <v>191</v>
      </c>
      <c r="C84" s="1" t="s">
        <v>56</v>
      </c>
      <c r="D84" s="1"/>
      <c r="E84" s="1" t="s">
        <v>151</v>
      </c>
    </row>
    <row r="85" spans="1:8" x14ac:dyDescent="0.4">
      <c r="A85" s="1" t="s">
        <v>192</v>
      </c>
      <c r="B85" s="1" t="s">
        <v>193</v>
      </c>
      <c r="C85" s="1" t="s">
        <v>56</v>
      </c>
      <c r="D85" s="1"/>
      <c r="E85" s="1" t="s">
        <v>18</v>
      </c>
    </row>
    <row r="86" spans="1:8" x14ac:dyDescent="0.4">
      <c r="A86" s="1" t="s">
        <v>194</v>
      </c>
      <c r="B86" s="1" t="s">
        <v>195</v>
      </c>
      <c r="C86" s="1" t="s">
        <v>6</v>
      </c>
      <c r="D86" s="1" t="s">
        <v>7</v>
      </c>
      <c r="E86" s="1" t="s">
        <v>204</v>
      </c>
    </row>
    <row r="87" spans="1:8" x14ac:dyDescent="0.4">
      <c r="A87" s="1" t="s">
        <v>196</v>
      </c>
      <c r="B87" s="1" t="s">
        <v>197</v>
      </c>
      <c r="C87" s="1" t="s">
        <v>6</v>
      </c>
      <c r="D87" s="1" t="s">
        <v>21</v>
      </c>
      <c r="E87" s="1" t="s">
        <v>204</v>
      </c>
    </row>
    <row r="88" spans="1:8" x14ac:dyDescent="0.4">
      <c r="A88" s="1" t="s">
        <v>198</v>
      </c>
      <c r="B88" s="1" t="s">
        <v>199</v>
      </c>
      <c r="C88" s="1" t="s">
        <v>6</v>
      </c>
      <c r="D88" s="1" t="s">
        <v>10</v>
      </c>
      <c r="E88" s="1" t="s">
        <v>204</v>
      </c>
    </row>
    <row r="89" spans="1:8" x14ac:dyDescent="0.4">
      <c r="A89" s="1" t="s">
        <v>200</v>
      </c>
      <c r="B89" s="1" t="s">
        <v>201</v>
      </c>
      <c r="C89" s="1" t="s">
        <v>6</v>
      </c>
      <c r="D89" s="1" t="s">
        <v>10</v>
      </c>
      <c r="E89" s="1" t="s">
        <v>204</v>
      </c>
    </row>
    <row r="90" spans="1:8" x14ac:dyDescent="0.4">
      <c r="A90" s="1" t="s">
        <v>202</v>
      </c>
      <c r="B90" s="1" t="s">
        <v>203</v>
      </c>
      <c r="C90" s="1" t="s">
        <v>6</v>
      </c>
      <c r="D90" s="1" t="s">
        <v>36</v>
      </c>
      <c r="E90" s="1" t="s">
        <v>204</v>
      </c>
    </row>
    <row r="91" spans="1:8" x14ac:dyDescent="0.4">
      <c r="A91" s="1" t="s">
        <v>205</v>
      </c>
      <c r="B91" s="1" t="s">
        <v>206</v>
      </c>
      <c r="C91" s="1" t="s">
        <v>6</v>
      </c>
      <c r="D91" s="1" t="s">
        <v>13</v>
      </c>
      <c r="E91" s="1" t="s">
        <v>204</v>
      </c>
      <c r="F91" s="1"/>
      <c r="G91" s="1"/>
      <c r="H91" s="1"/>
    </row>
    <row r="92" spans="1:8" x14ac:dyDescent="0.4">
      <c r="A92" s="1" t="s">
        <v>207</v>
      </c>
      <c r="B92" s="1" t="s">
        <v>208</v>
      </c>
      <c r="C92" s="1" t="s">
        <v>6</v>
      </c>
      <c r="D92" s="1" t="s">
        <v>7</v>
      </c>
      <c r="E92" s="1" t="s">
        <v>204</v>
      </c>
      <c r="F92" s="1"/>
      <c r="G92" s="1"/>
      <c r="H92" s="1"/>
    </row>
    <row r="93" spans="1:8" x14ac:dyDescent="0.4">
      <c r="A93" s="1" t="s">
        <v>209</v>
      </c>
      <c r="B93" s="1" t="s">
        <v>210</v>
      </c>
      <c r="C93" s="1" t="s">
        <v>6</v>
      </c>
      <c r="D93" s="1" t="s">
        <v>24</v>
      </c>
      <c r="E93" s="1" t="s">
        <v>204</v>
      </c>
      <c r="F93" s="1"/>
      <c r="G93" s="1"/>
      <c r="H93" s="1"/>
    </row>
    <row r="94" spans="1:8" x14ac:dyDescent="0.4">
      <c r="A94" s="1" t="s">
        <v>211</v>
      </c>
      <c r="B94" s="1" t="s">
        <v>212</v>
      </c>
      <c r="C94" s="1" t="s">
        <v>6</v>
      </c>
      <c r="D94" s="1" t="s">
        <v>30</v>
      </c>
      <c r="E94" s="1" t="s">
        <v>204</v>
      </c>
      <c r="F94" s="1"/>
      <c r="G94" s="1"/>
      <c r="H94" s="1"/>
    </row>
    <row r="95" spans="1:8" x14ac:dyDescent="0.4">
      <c r="A95" s="1" t="s">
        <v>213</v>
      </c>
      <c r="B95" s="1" t="s">
        <v>214</v>
      </c>
      <c r="C95" s="1" t="s">
        <v>6</v>
      </c>
      <c r="D95" s="1" t="s">
        <v>33</v>
      </c>
      <c r="E95" s="1" t="s">
        <v>204</v>
      </c>
      <c r="F95" s="1"/>
      <c r="G95" s="1"/>
      <c r="H95" s="1"/>
    </row>
    <row r="96" spans="1:8" x14ac:dyDescent="0.4">
      <c r="A96" s="1" t="s">
        <v>215</v>
      </c>
      <c r="B96" s="1" t="s">
        <v>216</v>
      </c>
      <c r="C96" s="1" t="s">
        <v>39</v>
      </c>
      <c r="D96" s="1"/>
      <c r="E96" s="1" t="s">
        <v>204</v>
      </c>
    </row>
    <row r="97" spans="1:5" x14ac:dyDescent="0.4">
      <c r="A97" s="1" t="s">
        <v>217</v>
      </c>
      <c r="B97" s="1" t="s">
        <v>218</v>
      </c>
      <c r="C97" s="1" t="s">
        <v>39</v>
      </c>
      <c r="D97" s="1"/>
      <c r="E97" s="1" t="s">
        <v>204</v>
      </c>
    </row>
    <row r="98" spans="1:5" x14ac:dyDescent="0.4">
      <c r="A98" s="1" t="s">
        <v>219</v>
      </c>
      <c r="B98" s="1" t="s">
        <v>220</v>
      </c>
      <c r="C98" s="1" t="s">
        <v>39</v>
      </c>
      <c r="D98" s="1"/>
      <c r="E98" s="1" t="s">
        <v>204</v>
      </c>
    </row>
    <row r="99" spans="1:5" x14ac:dyDescent="0.4">
      <c r="A99" s="1" t="s">
        <v>221</v>
      </c>
      <c r="B99" s="1" t="s">
        <v>222</v>
      </c>
      <c r="C99" s="1" t="s">
        <v>39</v>
      </c>
      <c r="D99" s="1"/>
      <c r="E99" s="1" t="s">
        <v>204</v>
      </c>
    </row>
    <row r="100" spans="1:5" x14ac:dyDescent="0.4">
      <c r="A100" s="1" t="s">
        <v>223</v>
      </c>
      <c r="B100" s="1" t="s">
        <v>224</v>
      </c>
      <c r="C100" s="1" t="s">
        <v>39</v>
      </c>
      <c r="D100" s="1"/>
      <c r="E100" s="1" t="s">
        <v>204</v>
      </c>
    </row>
    <row r="101" spans="1:5" x14ac:dyDescent="0.4">
      <c r="A101" s="1" t="s">
        <v>225</v>
      </c>
      <c r="B101" s="1" t="s">
        <v>226</v>
      </c>
      <c r="C101" s="1" t="s">
        <v>39</v>
      </c>
      <c r="D101" s="1"/>
      <c r="E101" s="1" t="s">
        <v>204</v>
      </c>
    </row>
    <row r="102" spans="1:5" x14ac:dyDescent="0.4">
      <c r="A102" s="1" t="s">
        <v>227</v>
      </c>
      <c r="B102" s="1" t="s">
        <v>228</v>
      </c>
      <c r="C102" s="1" t="s">
        <v>39</v>
      </c>
      <c r="D102" s="1"/>
      <c r="E102" s="1" t="s">
        <v>204</v>
      </c>
    </row>
    <row r="103" spans="1:5" x14ac:dyDescent="0.4">
      <c r="A103" s="1" t="s">
        <v>229</v>
      </c>
      <c r="B103" s="1" t="s">
        <v>230</v>
      </c>
      <c r="C103" s="1" t="s">
        <v>39</v>
      </c>
      <c r="D103" s="1"/>
      <c r="E103" s="1" t="s">
        <v>204</v>
      </c>
    </row>
    <row r="104" spans="1:5" x14ac:dyDescent="0.4">
      <c r="A104" s="1" t="s">
        <v>231</v>
      </c>
      <c r="B104" s="1" t="s">
        <v>232</v>
      </c>
      <c r="C104" s="1" t="s">
        <v>39</v>
      </c>
      <c r="D104" s="1"/>
      <c r="E104" s="1" t="s">
        <v>204</v>
      </c>
    </row>
    <row r="105" spans="1:5" x14ac:dyDescent="0.4">
      <c r="A105" s="1" t="s">
        <v>233</v>
      </c>
      <c r="B105" s="1" t="s">
        <v>234</v>
      </c>
      <c r="C105" s="1" t="s">
        <v>39</v>
      </c>
      <c r="D105" s="1"/>
      <c r="E105" s="1" t="s">
        <v>204</v>
      </c>
    </row>
    <row r="106" spans="1:5" x14ac:dyDescent="0.4">
      <c r="A106" s="1" t="s">
        <v>235</v>
      </c>
      <c r="B106" s="1" t="s">
        <v>236</v>
      </c>
      <c r="C106" s="1" t="s">
        <v>56</v>
      </c>
      <c r="D106" s="1"/>
      <c r="E106" s="1" t="s">
        <v>204</v>
      </c>
    </row>
    <row r="107" spans="1:5" x14ac:dyDescent="0.4">
      <c r="A107" s="1" t="s">
        <v>237</v>
      </c>
      <c r="B107" s="1" t="s">
        <v>238</v>
      </c>
      <c r="C107" s="1" t="s">
        <v>56</v>
      </c>
      <c r="D107" s="1"/>
      <c r="E107" s="1" t="s">
        <v>204</v>
      </c>
    </row>
    <row r="108" spans="1:5" x14ac:dyDescent="0.4">
      <c r="A108" s="1" t="s">
        <v>239</v>
      </c>
      <c r="B108" s="1" t="s">
        <v>240</v>
      </c>
      <c r="C108" s="1" t="s">
        <v>56</v>
      </c>
      <c r="D108" s="1"/>
      <c r="E108" s="1" t="s">
        <v>204</v>
      </c>
    </row>
    <row r="109" spans="1:5" x14ac:dyDescent="0.4">
      <c r="A109" s="1" t="s">
        <v>241</v>
      </c>
      <c r="B109" s="1" t="s">
        <v>242</v>
      </c>
      <c r="C109" s="1" t="s">
        <v>56</v>
      </c>
      <c r="D109" s="1"/>
      <c r="E109" s="1" t="s">
        <v>204</v>
      </c>
    </row>
    <row r="110" spans="1:5" x14ac:dyDescent="0.4">
      <c r="A110" s="1" t="s">
        <v>243</v>
      </c>
      <c r="B110" s="1" t="s">
        <v>244</v>
      </c>
      <c r="C110" s="1" t="s">
        <v>56</v>
      </c>
      <c r="D110" s="1"/>
      <c r="E110" s="1" t="s">
        <v>204</v>
      </c>
    </row>
    <row r="111" spans="1:5" x14ac:dyDescent="0.4">
      <c r="A111" s="1" t="s">
        <v>245</v>
      </c>
      <c r="B111" s="1" t="s">
        <v>246</v>
      </c>
      <c r="C111" s="1" t="s">
        <v>56</v>
      </c>
      <c r="D111" s="1"/>
      <c r="E111" s="1" t="s">
        <v>204</v>
      </c>
    </row>
    <row r="112" spans="1:5" x14ac:dyDescent="0.4">
      <c r="A112" s="1" t="s">
        <v>247</v>
      </c>
      <c r="B112" s="1" t="s">
        <v>248</v>
      </c>
      <c r="C112" s="1" t="s">
        <v>56</v>
      </c>
      <c r="D112" s="1"/>
      <c r="E112" s="1" t="s">
        <v>204</v>
      </c>
    </row>
    <row r="113" spans="1:5" x14ac:dyDescent="0.4">
      <c r="A113" s="1" t="s">
        <v>249</v>
      </c>
      <c r="B113" s="1" t="s">
        <v>250</v>
      </c>
      <c r="C113" s="1" t="s">
        <v>56</v>
      </c>
      <c r="D113" s="1"/>
      <c r="E113" s="1" t="s">
        <v>204</v>
      </c>
    </row>
    <row r="114" spans="1:5" x14ac:dyDescent="0.4">
      <c r="A114" s="1" t="s">
        <v>251</v>
      </c>
      <c r="B114" s="1" t="s">
        <v>252</v>
      </c>
      <c r="C114" s="1" t="s">
        <v>56</v>
      </c>
      <c r="D114" s="1"/>
      <c r="E114" s="1" t="s">
        <v>204</v>
      </c>
    </row>
    <row r="115" spans="1:5" x14ac:dyDescent="0.4">
      <c r="A115" s="1" t="s">
        <v>253</v>
      </c>
      <c r="B115" s="1" t="s">
        <v>254</v>
      </c>
      <c r="C115" s="1" t="s">
        <v>56</v>
      </c>
      <c r="D115" s="1"/>
      <c r="E115" s="1" t="s">
        <v>204</v>
      </c>
    </row>
    <row r="116" spans="1:5" x14ac:dyDescent="0.4">
      <c r="A116" s="1" t="s">
        <v>255</v>
      </c>
      <c r="B116" s="1" t="s">
        <v>256</v>
      </c>
      <c r="C116" s="1" t="s">
        <v>6</v>
      </c>
      <c r="D116" s="1" t="s">
        <v>13</v>
      </c>
      <c r="E116" s="1" t="s">
        <v>204</v>
      </c>
    </row>
    <row r="117" spans="1:5" x14ac:dyDescent="0.4">
      <c r="A117" s="1" t="s">
        <v>257</v>
      </c>
      <c r="B117" s="1" t="s">
        <v>258</v>
      </c>
      <c r="C117" s="1" t="s">
        <v>6</v>
      </c>
      <c r="D117" s="1" t="s">
        <v>10</v>
      </c>
      <c r="E117" s="1" t="s">
        <v>125</v>
      </c>
    </row>
    <row r="118" spans="1:5" x14ac:dyDescent="0.4">
      <c r="A118" s="1" t="s">
        <v>259</v>
      </c>
      <c r="B118" s="1" t="s">
        <v>260</v>
      </c>
      <c r="C118" s="1" t="s">
        <v>6</v>
      </c>
      <c r="D118" s="1" t="s">
        <v>10</v>
      </c>
      <c r="E118" s="1" t="s">
        <v>204</v>
      </c>
    </row>
    <row r="119" spans="1:5" x14ac:dyDescent="0.4">
      <c r="A119" s="1" t="s">
        <v>261</v>
      </c>
      <c r="B119" s="1" t="s">
        <v>262</v>
      </c>
      <c r="C119" s="1" t="s">
        <v>6</v>
      </c>
      <c r="D119" s="1" t="s">
        <v>13</v>
      </c>
      <c r="E119" s="1" t="s">
        <v>204</v>
      </c>
    </row>
    <row r="120" spans="1:5" x14ac:dyDescent="0.4">
      <c r="A120" s="1" t="s">
        <v>263</v>
      </c>
      <c r="B120" s="1" t="s">
        <v>264</v>
      </c>
      <c r="C120" s="1" t="s">
        <v>6</v>
      </c>
      <c r="D120" s="1" t="s">
        <v>10</v>
      </c>
      <c r="E120" s="1" t="s">
        <v>18</v>
      </c>
    </row>
    <row r="121" spans="1:5" x14ac:dyDescent="0.4">
      <c r="A121" s="1" t="s">
        <v>265</v>
      </c>
      <c r="B121" s="1" t="s">
        <v>266</v>
      </c>
      <c r="C121" s="1" t="s">
        <v>6</v>
      </c>
      <c r="D121" s="1" t="s">
        <v>13</v>
      </c>
      <c r="E121" s="1" t="s">
        <v>204</v>
      </c>
    </row>
    <row r="122" spans="1:5" x14ac:dyDescent="0.4">
      <c r="A122" s="1" t="s">
        <v>267</v>
      </c>
      <c r="B122" s="1" t="s">
        <v>268</v>
      </c>
      <c r="C122" s="1" t="s">
        <v>6</v>
      </c>
      <c r="D122" s="1" t="s">
        <v>13</v>
      </c>
      <c r="E122" s="1" t="s">
        <v>204</v>
      </c>
    </row>
    <row r="123" spans="1:5" x14ac:dyDescent="0.4">
      <c r="A123" s="1" t="s">
        <v>269</v>
      </c>
      <c r="B123" s="1" t="s">
        <v>270</v>
      </c>
      <c r="C123" s="1" t="s">
        <v>6</v>
      </c>
      <c r="D123" s="1" t="s">
        <v>27</v>
      </c>
      <c r="E123" s="1" t="s">
        <v>204</v>
      </c>
    </row>
    <row r="124" spans="1:5" x14ac:dyDescent="0.4">
      <c r="A124" s="1" t="s">
        <v>271</v>
      </c>
      <c r="B124" s="1" t="s">
        <v>272</v>
      </c>
      <c r="C124" s="1" t="s">
        <v>6</v>
      </c>
      <c r="D124" s="1" t="s">
        <v>24</v>
      </c>
      <c r="E124" s="1" t="s">
        <v>204</v>
      </c>
    </row>
    <row r="125" spans="1:5" x14ac:dyDescent="0.4">
      <c r="A125" s="1" t="s">
        <v>273</v>
      </c>
      <c r="B125" s="1" t="s">
        <v>274</v>
      </c>
      <c r="C125" s="1" t="s">
        <v>6</v>
      </c>
      <c r="D125" s="1" t="s">
        <v>7</v>
      </c>
      <c r="E125" s="1" t="s">
        <v>204</v>
      </c>
    </row>
    <row r="126" spans="1:5" x14ac:dyDescent="0.4">
      <c r="A126" s="1" t="s">
        <v>275</v>
      </c>
      <c r="B126" s="1" t="s">
        <v>276</v>
      </c>
      <c r="C126" s="1" t="s">
        <v>6</v>
      </c>
      <c r="D126" s="1" t="s">
        <v>33</v>
      </c>
      <c r="E126" s="1" t="s">
        <v>204</v>
      </c>
    </row>
    <row r="127" spans="1:5" x14ac:dyDescent="0.4">
      <c r="A127" s="1" t="s">
        <v>277</v>
      </c>
      <c r="B127" s="1" t="s">
        <v>278</v>
      </c>
      <c r="C127" s="1" t="s">
        <v>39</v>
      </c>
      <c r="D127" s="1"/>
      <c r="E127" s="1" t="s">
        <v>204</v>
      </c>
    </row>
    <row r="128" spans="1:5" x14ac:dyDescent="0.4">
      <c r="A128" s="1" t="s">
        <v>279</v>
      </c>
      <c r="B128" s="1" t="s">
        <v>280</v>
      </c>
      <c r="C128" s="1" t="s">
        <v>39</v>
      </c>
      <c r="D128" s="1"/>
      <c r="E128" s="1" t="s">
        <v>204</v>
      </c>
    </row>
    <row r="129" spans="1:5" x14ac:dyDescent="0.4">
      <c r="A129" s="1" t="s">
        <v>281</v>
      </c>
      <c r="B129" s="1" t="s">
        <v>282</v>
      </c>
      <c r="C129" s="1" t="s">
        <v>39</v>
      </c>
      <c r="D129" s="1"/>
      <c r="E129" s="1" t="s">
        <v>204</v>
      </c>
    </row>
    <row r="130" spans="1:5" x14ac:dyDescent="0.4">
      <c r="A130" s="1" t="s">
        <v>283</v>
      </c>
      <c r="B130" s="1" t="s">
        <v>284</v>
      </c>
      <c r="C130" s="1" t="s">
        <v>39</v>
      </c>
      <c r="D130" s="1"/>
      <c r="E130" s="1" t="s">
        <v>204</v>
      </c>
    </row>
    <row r="131" spans="1:5" x14ac:dyDescent="0.4">
      <c r="A131" s="1" t="s">
        <v>285</v>
      </c>
      <c r="B131" s="1" t="s">
        <v>286</v>
      </c>
      <c r="C131" s="1" t="s">
        <v>39</v>
      </c>
      <c r="D131" s="1"/>
      <c r="E131" s="1" t="s">
        <v>204</v>
      </c>
    </row>
    <row r="132" spans="1:5" x14ac:dyDescent="0.4">
      <c r="A132" s="1" t="s">
        <v>287</v>
      </c>
      <c r="B132" s="1" t="s">
        <v>288</v>
      </c>
      <c r="C132" s="1" t="s">
        <v>39</v>
      </c>
      <c r="D132" s="1"/>
      <c r="E132" s="1" t="s">
        <v>204</v>
      </c>
    </row>
    <row r="133" spans="1:5" x14ac:dyDescent="0.4">
      <c r="A133" s="1" t="s">
        <v>289</v>
      </c>
      <c r="B133" s="1" t="s">
        <v>290</v>
      </c>
      <c r="C133" s="1" t="s">
        <v>39</v>
      </c>
      <c r="D133" s="1"/>
      <c r="E133" s="1" t="s">
        <v>204</v>
      </c>
    </row>
    <row r="134" spans="1:5" x14ac:dyDescent="0.4">
      <c r="A134" s="1" t="s">
        <v>291</v>
      </c>
      <c r="B134" s="1" t="s">
        <v>292</v>
      </c>
      <c r="C134" s="1" t="s">
        <v>39</v>
      </c>
      <c r="D134" s="1"/>
      <c r="E134" s="1" t="s">
        <v>204</v>
      </c>
    </row>
    <row r="135" spans="1:5" x14ac:dyDescent="0.4">
      <c r="A135" s="1" t="s">
        <v>293</v>
      </c>
      <c r="B135" s="1" t="s">
        <v>294</v>
      </c>
      <c r="C135" s="1" t="s">
        <v>39</v>
      </c>
      <c r="D135" s="1"/>
      <c r="E135" s="1" t="s">
        <v>204</v>
      </c>
    </row>
    <row r="136" spans="1:5" x14ac:dyDescent="0.4">
      <c r="A136" s="1" t="s">
        <v>295</v>
      </c>
      <c r="B136" s="1" t="s">
        <v>296</v>
      </c>
      <c r="C136" s="1" t="s">
        <v>56</v>
      </c>
      <c r="D136" s="1"/>
      <c r="E136" s="1" t="s">
        <v>204</v>
      </c>
    </row>
    <row r="137" spans="1:5" x14ac:dyDescent="0.4">
      <c r="A137" s="1" t="s">
        <v>297</v>
      </c>
      <c r="B137" s="1" t="s">
        <v>298</v>
      </c>
      <c r="C137" s="1" t="s">
        <v>56</v>
      </c>
      <c r="D137" s="1"/>
      <c r="E137" s="1" t="s">
        <v>204</v>
      </c>
    </row>
    <row r="138" spans="1:5" x14ac:dyDescent="0.4">
      <c r="A138" s="1" t="s">
        <v>299</v>
      </c>
      <c r="B138" s="1" t="s">
        <v>300</v>
      </c>
      <c r="C138" s="1" t="s">
        <v>56</v>
      </c>
      <c r="D138" s="1"/>
      <c r="E138" s="1" t="s">
        <v>204</v>
      </c>
    </row>
    <row r="139" spans="1:5" x14ac:dyDescent="0.4">
      <c r="A139" s="1" t="s">
        <v>301</v>
      </c>
      <c r="B139" s="1" t="s">
        <v>302</v>
      </c>
      <c r="C139" s="1" t="s">
        <v>56</v>
      </c>
      <c r="D139" s="1"/>
      <c r="E139" s="1" t="s">
        <v>204</v>
      </c>
    </row>
    <row r="140" spans="1:5" x14ac:dyDescent="0.4">
      <c r="A140" s="1" t="s">
        <v>303</v>
      </c>
      <c r="B140" s="1" t="s">
        <v>304</v>
      </c>
      <c r="C140" s="1" t="s">
        <v>56</v>
      </c>
      <c r="D140" s="1"/>
      <c r="E140" s="1" t="s">
        <v>204</v>
      </c>
    </row>
    <row r="141" spans="1:5" x14ac:dyDescent="0.4">
      <c r="A141" s="1" t="s">
        <v>305</v>
      </c>
      <c r="B141" s="1" t="s">
        <v>306</v>
      </c>
      <c r="C141" s="1" t="s">
        <v>56</v>
      </c>
      <c r="D141" s="1"/>
      <c r="E141" s="1" t="s">
        <v>204</v>
      </c>
    </row>
    <row r="142" spans="1:5" x14ac:dyDescent="0.4">
      <c r="A142" s="1" t="s">
        <v>307</v>
      </c>
      <c r="B142" s="1" t="s">
        <v>308</v>
      </c>
      <c r="C142" s="1" t="s">
        <v>56</v>
      </c>
      <c r="D142" s="1"/>
      <c r="E142" s="1" t="s">
        <v>204</v>
      </c>
    </row>
    <row r="143" spans="1:5" x14ac:dyDescent="0.4">
      <c r="A143" s="1" t="s">
        <v>309</v>
      </c>
      <c r="B143" s="1" t="s">
        <v>310</v>
      </c>
      <c r="C143" s="1" t="s">
        <v>56</v>
      </c>
      <c r="D143" s="1"/>
      <c r="E143" s="1" t="s">
        <v>204</v>
      </c>
    </row>
    <row r="144" spans="1:5" x14ac:dyDescent="0.4">
      <c r="A144" s="1" t="s">
        <v>311</v>
      </c>
      <c r="B144" s="1" t="s">
        <v>312</v>
      </c>
      <c r="C144" s="1" t="s">
        <v>56</v>
      </c>
      <c r="D144" s="1"/>
      <c r="E144" s="1" t="s">
        <v>204</v>
      </c>
    </row>
    <row r="145" spans="1:8" x14ac:dyDescent="0.4">
      <c r="A145" s="1" t="s">
        <v>313</v>
      </c>
      <c r="B145" s="1" t="s">
        <v>314</v>
      </c>
      <c r="C145" s="1" t="s">
        <v>56</v>
      </c>
      <c r="D145" s="1"/>
      <c r="E145" s="1" t="s">
        <v>204</v>
      </c>
    </row>
    <row r="146" spans="1:8" x14ac:dyDescent="0.4">
      <c r="A146" s="1" t="s">
        <v>315</v>
      </c>
      <c r="B146" s="1" t="s">
        <v>316</v>
      </c>
      <c r="C146" s="1" t="s">
        <v>39</v>
      </c>
      <c r="D146" s="1"/>
      <c r="E146" s="1" t="s">
        <v>130</v>
      </c>
    </row>
    <row r="147" spans="1:8" x14ac:dyDescent="0.4">
      <c r="A147" s="1" t="s">
        <v>317</v>
      </c>
      <c r="B147" s="1" t="s">
        <v>318</v>
      </c>
      <c r="C147" s="1" t="s">
        <v>6</v>
      </c>
      <c r="D147" s="1" t="s">
        <v>36</v>
      </c>
      <c r="E147" s="1" t="s">
        <v>156</v>
      </c>
    </row>
    <row r="148" spans="1:8" x14ac:dyDescent="0.4">
      <c r="A148" s="1" t="s">
        <v>319</v>
      </c>
      <c r="B148" s="2" t="s">
        <v>320</v>
      </c>
      <c r="C148" s="1" t="s">
        <v>39</v>
      </c>
      <c r="D148" s="1"/>
      <c r="E148" s="1" t="s">
        <v>151</v>
      </c>
    </row>
    <row r="149" spans="1:8" x14ac:dyDescent="0.4">
      <c r="A149" s="1" t="s">
        <v>321</v>
      </c>
      <c r="B149" s="1" t="s">
        <v>322</v>
      </c>
      <c r="C149" s="1" t="s">
        <v>6</v>
      </c>
      <c r="D149" s="1" t="s">
        <v>24</v>
      </c>
      <c r="E149" s="1" t="s">
        <v>18</v>
      </c>
    </row>
    <row r="150" spans="1:8" x14ac:dyDescent="0.4">
      <c r="A150" s="1" t="s">
        <v>323</v>
      </c>
      <c r="B150" s="1" t="s">
        <v>324</v>
      </c>
      <c r="C150" s="1" t="s">
        <v>56</v>
      </c>
      <c r="D150" s="1"/>
      <c r="E150" s="1" t="s">
        <v>325</v>
      </c>
    </row>
    <row r="151" spans="1:8" x14ac:dyDescent="0.4">
      <c r="A151" s="1" t="s">
        <v>326</v>
      </c>
      <c r="B151" s="1" t="s">
        <v>327</v>
      </c>
      <c r="C151" s="1" t="s">
        <v>39</v>
      </c>
      <c r="D151" s="1"/>
      <c r="E151" s="1" t="s">
        <v>125</v>
      </c>
    </row>
    <row r="152" spans="1:8" x14ac:dyDescent="0.4">
      <c r="A152" s="1" t="s">
        <v>328</v>
      </c>
      <c r="B152" s="1" t="s">
        <v>329</v>
      </c>
      <c r="C152" s="1" t="s">
        <v>6</v>
      </c>
      <c r="D152" s="1" t="s">
        <v>36</v>
      </c>
      <c r="E152" s="1" t="s">
        <v>330</v>
      </c>
    </row>
    <row r="153" spans="1:8" x14ac:dyDescent="0.4">
      <c r="A153" s="1" t="s">
        <v>331</v>
      </c>
      <c r="B153" s="1" t="s">
        <v>332</v>
      </c>
      <c r="C153" s="1" t="s">
        <v>6</v>
      </c>
      <c r="D153" s="1" t="s">
        <v>36</v>
      </c>
      <c r="E153" s="1" t="s">
        <v>135</v>
      </c>
      <c r="F153" s="1"/>
      <c r="G153" s="1"/>
      <c r="H153" s="1"/>
    </row>
    <row r="154" spans="1:8" x14ac:dyDescent="0.4">
      <c r="A154" s="1" t="s">
        <v>333</v>
      </c>
      <c r="B154" s="1" t="s">
        <v>334</v>
      </c>
      <c r="C154" s="1" t="s">
        <v>6</v>
      </c>
      <c r="D154" s="1" t="s">
        <v>36</v>
      </c>
      <c r="E154" s="1" t="s">
        <v>138</v>
      </c>
    </row>
    <row r="155" spans="1:8" x14ac:dyDescent="0.4">
      <c r="A155" s="1" t="s">
        <v>335</v>
      </c>
      <c r="B155" s="1" t="s">
        <v>336</v>
      </c>
      <c r="C155" s="1" t="s">
        <v>56</v>
      </c>
      <c r="D155" s="1"/>
      <c r="E155" s="1" t="s">
        <v>148</v>
      </c>
    </row>
    <row r="156" spans="1:8" x14ac:dyDescent="0.4">
      <c r="A156" s="1" t="s">
        <v>337</v>
      </c>
      <c r="B156" s="1" t="s">
        <v>338</v>
      </c>
      <c r="C156" s="1" t="s">
        <v>39</v>
      </c>
      <c r="D156" s="1"/>
      <c r="E156" s="1" t="s">
        <v>125</v>
      </c>
    </row>
    <row r="157" spans="1:8" x14ac:dyDescent="0.4">
      <c r="A157" s="1" t="s">
        <v>339</v>
      </c>
      <c r="B157" s="1" t="s">
        <v>340</v>
      </c>
      <c r="C157" s="1" t="s">
        <v>56</v>
      </c>
      <c r="D157" s="1"/>
      <c r="E157" s="1" t="s">
        <v>138</v>
      </c>
    </row>
    <row r="158" spans="1:8" x14ac:dyDescent="0.4">
      <c r="A158" s="1" t="s">
        <v>341</v>
      </c>
      <c r="B158" s="1" t="s">
        <v>342</v>
      </c>
      <c r="C158" s="1" t="s">
        <v>39</v>
      </c>
      <c r="D158" s="1"/>
      <c r="E158" s="1" t="s">
        <v>143</v>
      </c>
    </row>
    <row r="159" spans="1:8" x14ac:dyDescent="0.4">
      <c r="A159" s="1" t="s">
        <v>343</v>
      </c>
      <c r="B159" s="1" t="s">
        <v>344</v>
      </c>
      <c r="C159" s="1" t="s">
        <v>6</v>
      </c>
      <c r="D159" s="1" t="s">
        <v>36</v>
      </c>
      <c r="E159" s="1" t="s">
        <v>18</v>
      </c>
    </row>
    <row r="160" spans="1:8" x14ac:dyDescent="0.4">
      <c r="A160" s="1" t="s">
        <v>345</v>
      </c>
      <c r="B160" s="1" t="s">
        <v>346</v>
      </c>
      <c r="C160" s="1" t="s">
        <v>39</v>
      </c>
      <c r="D160" s="1"/>
      <c r="E160" s="1" t="s">
        <v>125</v>
      </c>
    </row>
    <row r="161" spans="1:5" x14ac:dyDescent="0.4">
      <c r="A161" s="1" t="s">
        <v>347</v>
      </c>
      <c r="B161" s="1" t="s">
        <v>348</v>
      </c>
      <c r="C161" s="1" t="s">
        <v>6</v>
      </c>
      <c r="D161" s="1" t="s">
        <v>36</v>
      </c>
      <c r="E161" s="1" t="s">
        <v>349</v>
      </c>
    </row>
    <row r="162" spans="1:5" x14ac:dyDescent="0.4">
      <c r="A162" s="1" t="s">
        <v>350</v>
      </c>
      <c r="B162" s="1" t="s">
        <v>351</v>
      </c>
      <c r="C162" s="1" t="s">
        <v>39</v>
      </c>
      <c r="D162" s="1"/>
      <c r="E162" s="1" t="s">
        <v>138</v>
      </c>
    </row>
    <row r="163" spans="1:5" x14ac:dyDescent="0.4">
      <c r="A163" s="1" t="s">
        <v>352</v>
      </c>
      <c r="B163" s="1" t="s">
        <v>353</v>
      </c>
      <c r="C163" s="1" t="s">
        <v>6</v>
      </c>
      <c r="D163" s="1" t="s">
        <v>36</v>
      </c>
      <c r="E163" s="1" t="s">
        <v>166</v>
      </c>
    </row>
    <row r="164" spans="1:5" x14ac:dyDescent="0.4">
      <c r="A164" s="1" t="s">
        <v>354</v>
      </c>
      <c r="B164" s="1" t="s">
        <v>355</v>
      </c>
      <c r="C164" s="1" t="s">
        <v>39</v>
      </c>
      <c r="D164" s="1"/>
      <c r="E164" s="1" t="s">
        <v>138</v>
      </c>
    </row>
    <row r="165" spans="1:5" x14ac:dyDescent="0.4">
      <c r="A165" s="1" t="s">
        <v>356</v>
      </c>
      <c r="B165" s="1" t="s">
        <v>357</v>
      </c>
      <c r="C165" s="1" t="s">
        <v>6</v>
      </c>
      <c r="D165" s="1" t="s">
        <v>24</v>
      </c>
      <c r="E165" s="1" t="s">
        <v>18</v>
      </c>
    </row>
    <row r="166" spans="1:5" x14ac:dyDescent="0.4">
      <c r="A166" s="1" t="s">
        <v>358</v>
      </c>
      <c r="B166" s="1" t="s">
        <v>359</v>
      </c>
      <c r="C166" s="1" t="s">
        <v>39</v>
      </c>
      <c r="D166" s="1"/>
      <c r="E166" s="1" t="s">
        <v>135</v>
      </c>
    </row>
    <row r="167" spans="1:5" x14ac:dyDescent="0.4">
      <c r="A167" s="1" t="s">
        <v>360</v>
      </c>
      <c r="B167" s="1" t="s">
        <v>361</v>
      </c>
      <c r="C167" s="1" t="s">
        <v>56</v>
      </c>
      <c r="D167" s="1"/>
      <c r="E167" s="1" t="s">
        <v>185</v>
      </c>
    </row>
    <row r="168" spans="1:5" x14ac:dyDescent="0.4">
      <c r="A168" s="1" t="s">
        <v>362</v>
      </c>
      <c r="B168" s="1" t="s">
        <v>363</v>
      </c>
      <c r="C168" s="1" t="s">
        <v>39</v>
      </c>
      <c r="D168" s="1"/>
      <c r="E168" s="1" t="s">
        <v>151</v>
      </c>
    </row>
    <row r="169" spans="1:5" x14ac:dyDescent="0.4">
      <c r="A169" s="1" t="s">
        <v>364</v>
      </c>
      <c r="B169" s="1" t="s">
        <v>365</v>
      </c>
      <c r="C169" s="1" t="s">
        <v>6</v>
      </c>
      <c r="D169" s="1" t="s">
        <v>36</v>
      </c>
      <c r="E169" s="1" t="s">
        <v>143</v>
      </c>
    </row>
    <row r="170" spans="1:5" x14ac:dyDescent="0.4">
      <c r="A170" s="1" t="s">
        <v>366</v>
      </c>
      <c r="B170" s="1" t="s">
        <v>367</v>
      </c>
      <c r="C170" s="1" t="s">
        <v>56</v>
      </c>
      <c r="D170" s="1"/>
      <c r="E170" s="1" t="s">
        <v>151</v>
      </c>
    </row>
    <row r="171" spans="1:5" x14ac:dyDescent="0.4">
      <c r="A171" s="1" t="s">
        <v>368</v>
      </c>
      <c r="B171" s="1" t="s">
        <v>369</v>
      </c>
      <c r="C171" s="1" t="s">
        <v>6</v>
      </c>
      <c r="D171" s="1" t="s">
        <v>36</v>
      </c>
      <c r="E171" s="1" t="s">
        <v>138</v>
      </c>
    </row>
    <row r="172" spans="1:5" x14ac:dyDescent="0.4">
      <c r="A172" s="1" t="s">
        <v>370</v>
      </c>
      <c r="B172" s="1" t="s">
        <v>371</v>
      </c>
      <c r="C172" s="1" t="s">
        <v>39</v>
      </c>
      <c r="D172" s="1"/>
      <c r="E172" s="1" t="s">
        <v>185</v>
      </c>
    </row>
    <row r="173" spans="1:5" x14ac:dyDescent="0.4">
      <c r="A173" s="1" t="s">
        <v>372</v>
      </c>
      <c r="B173" s="1" t="s">
        <v>373</v>
      </c>
      <c r="C173" s="1" t="s">
        <v>39</v>
      </c>
      <c r="D173" s="1"/>
      <c r="E173" s="1" t="s">
        <v>125</v>
      </c>
    </row>
    <row r="174" spans="1:5" x14ac:dyDescent="0.4">
      <c r="A174" s="1" t="s">
        <v>374</v>
      </c>
      <c r="B174" s="1" t="s">
        <v>375</v>
      </c>
      <c r="C174" s="1" t="s">
        <v>6</v>
      </c>
      <c r="D174" s="1" t="s">
        <v>36</v>
      </c>
      <c r="E174" s="1" t="s">
        <v>143</v>
      </c>
    </row>
    <row r="175" spans="1:5" x14ac:dyDescent="0.4">
      <c r="A175" s="1" t="s">
        <v>376</v>
      </c>
      <c r="B175" s="1" t="s">
        <v>377</v>
      </c>
      <c r="C175" s="1" t="s">
        <v>39</v>
      </c>
      <c r="D175" s="1"/>
      <c r="E175" s="1" t="s">
        <v>161</v>
      </c>
    </row>
    <row r="176" spans="1:5" x14ac:dyDescent="0.4">
      <c r="A176" s="1" t="s">
        <v>378</v>
      </c>
      <c r="B176" s="1" t="s">
        <v>379</v>
      </c>
      <c r="C176" s="1" t="s">
        <v>6</v>
      </c>
      <c r="D176" s="1" t="s">
        <v>36</v>
      </c>
      <c r="E176" s="1" t="s">
        <v>130</v>
      </c>
    </row>
    <row r="177" spans="1:5" x14ac:dyDescent="0.4">
      <c r="A177" s="1" t="s">
        <v>380</v>
      </c>
      <c r="B177" s="1" t="s">
        <v>381</v>
      </c>
      <c r="C177" s="1" t="s">
        <v>39</v>
      </c>
      <c r="D177" s="1"/>
      <c r="E177" s="1" t="s">
        <v>166</v>
      </c>
    </row>
    <row r="178" spans="1:5" x14ac:dyDescent="0.4">
      <c r="A178" s="1" t="s">
        <v>382</v>
      </c>
      <c r="B178" s="1" t="s">
        <v>383</v>
      </c>
      <c r="C178" s="1" t="s">
        <v>39</v>
      </c>
      <c r="D178" s="1"/>
      <c r="E178" s="1" t="s">
        <v>130</v>
      </c>
    </row>
    <row r="179" spans="1:5" x14ac:dyDescent="0.4">
      <c r="A179" s="1" t="s">
        <v>384</v>
      </c>
      <c r="B179" s="1" t="s">
        <v>385</v>
      </c>
      <c r="C179" s="1" t="s">
        <v>6</v>
      </c>
      <c r="D179" s="1" t="s">
        <v>36</v>
      </c>
      <c r="E179" s="1" t="s">
        <v>18</v>
      </c>
    </row>
    <row r="180" spans="1:5" x14ac:dyDescent="0.4">
      <c r="A180" s="1" t="s">
        <v>386</v>
      </c>
      <c r="B180" s="1" t="s">
        <v>387</v>
      </c>
      <c r="C180" s="1" t="s">
        <v>6</v>
      </c>
      <c r="D180" s="1" t="s">
        <v>36</v>
      </c>
      <c r="E180" s="1" t="s">
        <v>138</v>
      </c>
    </row>
    <row r="181" spans="1:5" x14ac:dyDescent="0.4">
      <c r="A181" s="1" t="s">
        <v>388</v>
      </c>
      <c r="B181" s="1" t="s">
        <v>389</v>
      </c>
      <c r="C181" s="1" t="s">
        <v>39</v>
      </c>
      <c r="D181" s="1"/>
      <c r="E181" s="1" t="s">
        <v>138</v>
      </c>
    </row>
    <row r="182" spans="1:5" x14ac:dyDescent="0.4">
      <c r="A182" s="1" t="s">
        <v>390</v>
      </c>
      <c r="B182" s="1" t="s">
        <v>391</v>
      </c>
      <c r="C182" s="1" t="s">
        <v>6</v>
      </c>
      <c r="D182" s="1" t="s">
        <v>36</v>
      </c>
      <c r="E182" s="1" t="s">
        <v>325</v>
      </c>
    </row>
    <row r="183" spans="1:5" x14ac:dyDescent="0.4">
      <c r="A183" s="1" t="s">
        <v>392</v>
      </c>
      <c r="B183" s="1" t="s">
        <v>393</v>
      </c>
      <c r="C183" s="1" t="s">
        <v>39</v>
      </c>
      <c r="D183" s="1"/>
      <c r="E183" s="1" t="s">
        <v>166</v>
      </c>
    </row>
    <row r="184" spans="1:5" x14ac:dyDescent="0.4">
      <c r="A184" s="1" t="s">
        <v>394</v>
      </c>
      <c r="B184" s="1" t="s">
        <v>395</v>
      </c>
      <c r="C184" s="1" t="s">
        <v>6</v>
      </c>
      <c r="D184" s="1" t="s">
        <v>36</v>
      </c>
      <c r="E184" s="1" t="s">
        <v>125</v>
      </c>
    </row>
    <row r="185" spans="1:5" x14ac:dyDescent="0.4">
      <c r="A185" s="1" t="s">
        <v>396</v>
      </c>
      <c r="B185" s="1" t="s">
        <v>397</v>
      </c>
      <c r="C185" s="1" t="s">
        <v>39</v>
      </c>
      <c r="D185" s="1"/>
      <c r="E185" s="1" t="s">
        <v>166</v>
      </c>
    </row>
    <row r="186" spans="1:5" x14ac:dyDescent="0.4">
      <c r="A186" s="1" t="s">
        <v>398</v>
      </c>
      <c r="B186" s="1" t="s">
        <v>399</v>
      </c>
      <c r="C186" s="1" t="s">
        <v>39</v>
      </c>
      <c r="D186" s="1"/>
      <c r="E186" s="1" t="s">
        <v>156</v>
      </c>
    </row>
    <row r="187" spans="1:5" x14ac:dyDescent="0.4">
      <c r="A187" s="1" t="s">
        <v>400</v>
      </c>
      <c r="B187" s="1" t="s">
        <v>401</v>
      </c>
      <c r="C187" s="1" t="s">
        <v>39</v>
      </c>
      <c r="D187" s="1"/>
      <c r="E187" s="1" t="s">
        <v>156</v>
      </c>
    </row>
    <row r="188" spans="1:5" x14ac:dyDescent="0.4">
      <c r="A188" s="1" t="s">
        <v>402</v>
      </c>
      <c r="B188" s="1" t="s">
        <v>403</v>
      </c>
      <c r="C188" s="1" t="s">
        <v>39</v>
      </c>
      <c r="D188" s="1"/>
      <c r="E188" s="1" t="s">
        <v>156</v>
      </c>
    </row>
    <row r="189" spans="1:5" x14ac:dyDescent="0.4">
      <c r="A189" s="1" t="s">
        <v>404</v>
      </c>
      <c r="B189" s="1" t="s">
        <v>405</v>
      </c>
      <c r="C189" s="1" t="s">
        <v>6</v>
      </c>
      <c r="D189" s="1" t="s">
        <v>13</v>
      </c>
      <c r="E189" s="1" t="s">
        <v>156</v>
      </c>
    </row>
    <row r="190" spans="1:5" x14ac:dyDescent="0.4">
      <c r="A190" s="1" t="s">
        <v>406</v>
      </c>
      <c r="B190" s="1" t="s">
        <v>407</v>
      </c>
      <c r="C190" s="1" t="s">
        <v>6</v>
      </c>
      <c r="D190" s="1" t="s">
        <v>36</v>
      </c>
      <c r="E190" s="1" t="s">
        <v>156</v>
      </c>
    </row>
    <row r="191" spans="1:5" x14ac:dyDescent="0.4">
      <c r="A191" s="1" t="s">
        <v>408</v>
      </c>
      <c r="B191" s="1" t="s">
        <v>409</v>
      </c>
      <c r="C191" s="1" t="s">
        <v>6</v>
      </c>
      <c r="D191" s="1" t="s">
        <v>36</v>
      </c>
      <c r="E191" s="1" t="s">
        <v>156</v>
      </c>
    </row>
    <row r="192" spans="1:5" x14ac:dyDescent="0.4">
      <c r="A192" s="1" t="s">
        <v>410</v>
      </c>
      <c r="B192" s="1" t="s">
        <v>411</v>
      </c>
      <c r="C192" s="1" t="s">
        <v>6</v>
      </c>
      <c r="D192" s="1" t="s">
        <v>36</v>
      </c>
      <c r="E192" s="1" t="s">
        <v>156</v>
      </c>
    </row>
    <row r="193" spans="1:5" x14ac:dyDescent="0.4">
      <c r="A193" s="1" t="s">
        <v>412</v>
      </c>
      <c r="B193" s="1" t="s">
        <v>413</v>
      </c>
      <c r="C193" s="1" t="s">
        <v>56</v>
      </c>
      <c r="D193" s="1"/>
      <c r="E193" s="1" t="s">
        <v>156</v>
      </c>
    </row>
    <row r="194" spans="1:5" x14ac:dyDescent="0.4">
      <c r="A194" s="1" t="s">
        <v>414</v>
      </c>
      <c r="B194" s="1" t="s">
        <v>415</v>
      </c>
      <c r="C194" s="1" t="s">
        <v>56</v>
      </c>
      <c r="D194" s="1"/>
      <c r="E194" s="1" t="s">
        <v>156</v>
      </c>
    </row>
    <row r="195" spans="1:5" x14ac:dyDescent="0.4">
      <c r="A195" s="1" t="s">
        <v>416</v>
      </c>
      <c r="B195" s="1" t="s">
        <v>417</v>
      </c>
      <c r="C195" s="1" t="s">
        <v>56</v>
      </c>
      <c r="D195" s="1"/>
      <c r="E195" s="1" t="s">
        <v>156</v>
      </c>
    </row>
    <row r="196" spans="1:5" x14ac:dyDescent="0.4">
      <c r="A196" s="1" t="s">
        <v>418</v>
      </c>
      <c r="B196" s="1" t="s">
        <v>419</v>
      </c>
      <c r="C196" s="1" t="s">
        <v>39</v>
      </c>
      <c r="D196" s="1"/>
      <c r="E196" s="1" t="s">
        <v>156</v>
      </c>
    </row>
    <row r="197" spans="1:5" x14ac:dyDescent="0.4">
      <c r="A197" s="1" t="s">
        <v>420</v>
      </c>
      <c r="B197" s="1" t="s">
        <v>421</v>
      </c>
      <c r="C197" s="1" t="s">
        <v>39</v>
      </c>
      <c r="D197" s="1"/>
      <c r="E197" s="1" t="s">
        <v>156</v>
      </c>
    </row>
    <row r="198" spans="1:5" x14ac:dyDescent="0.4">
      <c r="A198" s="1" t="s">
        <v>422</v>
      </c>
      <c r="B198" s="1" t="s">
        <v>423</v>
      </c>
      <c r="C198" s="1" t="s">
        <v>39</v>
      </c>
      <c r="D198" s="1"/>
      <c r="E198" s="1" t="s">
        <v>156</v>
      </c>
    </row>
    <row r="199" spans="1:5" x14ac:dyDescent="0.4">
      <c r="A199" s="1" t="s">
        <v>424</v>
      </c>
      <c r="B199" s="1" t="s">
        <v>425</v>
      </c>
      <c r="C199" s="1" t="s">
        <v>6</v>
      </c>
      <c r="D199" s="1" t="s">
        <v>10</v>
      </c>
      <c r="E199" s="1" t="s">
        <v>156</v>
      </c>
    </row>
    <row r="200" spans="1:5" x14ac:dyDescent="0.4">
      <c r="A200" s="1" t="s">
        <v>426</v>
      </c>
      <c r="B200" s="1" t="s">
        <v>427</v>
      </c>
      <c r="C200" s="1" t="s">
        <v>6</v>
      </c>
      <c r="D200" s="1" t="s">
        <v>27</v>
      </c>
      <c r="E200" s="1" t="s">
        <v>156</v>
      </c>
    </row>
    <row r="201" spans="1:5" x14ac:dyDescent="0.4">
      <c r="A201" s="1" t="s">
        <v>428</v>
      </c>
      <c r="B201" s="1" t="s">
        <v>429</v>
      </c>
      <c r="C201" s="1" t="s">
        <v>39</v>
      </c>
      <c r="D201" s="1"/>
      <c r="E201" s="1" t="s">
        <v>156</v>
      </c>
    </row>
    <row r="202" spans="1:5" x14ac:dyDescent="0.4">
      <c r="A202" s="1" t="s">
        <v>430</v>
      </c>
      <c r="B202" s="1" t="s">
        <v>431</v>
      </c>
      <c r="C202" s="1" t="s">
        <v>39</v>
      </c>
      <c r="D202" s="1"/>
      <c r="E202" s="1" t="s">
        <v>156</v>
      </c>
    </row>
    <row r="203" spans="1:5" x14ac:dyDescent="0.4">
      <c r="A203" s="1" t="s">
        <v>432</v>
      </c>
      <c r="B203" s="1" t="s">
        <v>433</v>
      </c>
      <c r="C203" s="1" t="s">
        <v>39</v>
      </c>
      <c r="D203" s="1"/>
      <c r="E203" s="1" t="s">
        <v>156</v>
      </c>
    </row>
    <row r="204" spans="1:5" x14ac:dyDescent="0.4">
      <c r="A204" s="1" t="s">
        <v>434</v>
      </c>
      <c r="B204" s="1" t="s">
        <v>435</v>
      </c>
      <c r="C204" s="1" t="s">
        <v>39</v>
      </c>
      <c r="D204" s="1"/>
      <c r="E204" s="1" t="s">
        <v>156</v>
      </c>
    </row>
    <row r="205" spans="1:5" x14ac:dyDescent="0.4">
      <c r="A205" s="1" t="s">
        <v>436</v>
      </c>
      <c r="B205" s="1" t="s">
        <v>437</v>
      </c>
      <c r="C205" s="1" t="s">
        <v>39</v>
      </c>
      <c r="D205" s="1"/>
      <c r="E205" s="1" t="s">
        <v>156</v>
      </c>
    </row>
    <row r="206" spans="1:5" x14ac:dyDescent="0.4">
      <c r="A206" s="1" t="s">
        <v>438</v>
      </c>
      <c r="B206" s="1" t="s">
        <v>439</v>
      </c>
      <c r="C206" s="1" t="s">
        <v>39</v>
      </c>
      <c r="D206" s="1"/>
      <c r="E206" s="1" t="s">
        <v>156</v>
      </c>
    </row>
    <row r="207" spans="1:5" x14ac:dyDescent="0.4">
      <c r="A207" s="1" t="s">
        <v>440</v>
      </c>
      <c r="B207" s="1" t="s">
        <v>441</v>
      </c>
      <c r="C207" s="1" t="s">
        <v>6</v>
      </c>
      <c r="D207" s="1" t="s">
        <v>24</v>
      </c>
      <c r="E207" s="1" t="s">
        <v>156</v>
      </c>
    </row>
    <row r="208" spans="1:5" x14ac:dyDescent="0.4">
      <c r="A208" s="1" t="s">
        <v>442</v>
      </c>
      <c r="B208" s="1" t="s">
        <v>443</v>
      </c>
      <c r="C208" s="1" t="s">
        <v>6</v>
      </c>
      <c r="D208" s="1" t="s">
        <v>16</v>
      </c>
      <c r="E208" s="1" t="s">
        <v>156</v>
      </c>
    </row>
    <row r="209" spans="1:5" x14ac:dyDescent="0.4">
      <c r="A209" s="1" t="s">
        <v>444</v>
      </c>
      <c r="B209" s="1" t="s">
        <v>445</v>
      </c>
      <c r="C209" s="1" t="s">
        <v>6</v>
      </c>
      <c r="D209" s="1" t="s">
        <v>10</v>
      </c>
      <c r="E209" s="1" t="s">
        <v>156</v>
      </c>
    </row>
    <row r="210" spans="1:5" x14ac:dyDescent="0.4">
      <c r="A210" s="1" t="s">
        <v>446</v>
      </c>
      <c r="B210" s="1" t="s">
        <v>447</v>
      </c>
      <c r="C210" s="1" t="s">
        <v>6</v>
      </c>
      <c r="D210" s="1" t="s">
        <v>7</v>
      </c>
      <c r="E210" s="1" t="s">
        <v>156</v>
      </c>
    </row>
    <row r="211" spans="1:5" x14ac:dyDescent="0.4">
      <c r="A211" s="1" t="s">
        <v>448</v>
      </c>
      <c r="B211" s="1" t="s">
        <v>449</v>
      </c>
      <c r="C211" s="1" t="s">
        <v>6</v>
      </c>
      <c r="D211" s="1" t="s">
        <v>21</v>
      </c>
      <c r="E211" s="1" t="s">
        <v>156</v>
      </c>
    </row>
    <row r="212" spans="1:5" x14ac:dyDescent="0.4">
      <c r="A212" s="1" t="s">
        <v>450</v>
      </c>
      <c r="B212" s="1" t="s">
        <v>451</v>
      </c>
      <c r="C212" s="1" t="s">
        <v>56</v>
      </c>
      <c r="D212" s="1"/>
      <c r="E212" s="1" t="s">
        <v>156</v>
      </c>
    </row>
    <row r="213" spans="1:5" x14ac:dyDescent="0.4">
      <c r="A213" s="1" t="s">
        <v>452</v>
      </c>
      <c r="B213" s="1" t="s">
        <v>453</v>
      </c>
      <c r="C213" s="1" t="s">
        <v>6</v>
      </c>
      <c r="D213" s="1" t="s">
        <v>36</v>
      </c>
      <c r="E213" s="1" t="s">
        <v>156</v>
      </c>
    </row>
    <row r="214" spans="1:5" x14ac:dyDescent="0.4">
      <c r="A214" s="1" t="s">
        <v>454</v>
      </c>
      <c r="B214" s="1" t="s">
        <v>455</v>
      </c>
      <c r="C214" s="1" t="s">
        <v>56</v>
      </c>
      <c r="D214" s="1"/>
      <c r="E214" s="1" t="s">
        <v>156</v>
      </c>
    </row>
    <row r="215" spans="1:5" x14ac:dyDescent="0.4">
      <c r="A215" s="1" t="s">
        <v>456</v>
      </c>
      <c r="B215" s="1" t="s">
        <v>457</v>
      </c>
      <c r="C215" s="1" t="s">
        <v>56</v>
      </c>
      <c r="D215" s="1"/>
      <c r="E215" s="1" t="s">
        <v>156</v>
      </c>
    </row>
    <row r="216" spans="1:5" x14ac:dyDescent="0.4">
      <c r="A216" s="1" t="s">
        <v>458</v>
      </c>
      <c r="B216" s="1" t="s">
        <v>460</v>
      </c>
      <c r="C216" s="1" t="s">
        <v>6</v>
      </c>
      <c r="D216" s="1" t="s">
        <v>7</v>
      </c>
      <c r="E216" s="1" t="s">
        <v>151</v>
      </c>
    </row>
    <row r="217" spans="1:5" x14ac:dyDescent="0.4">
      <c r="A217" s="1" t="s">
        <v>459</v>
      </c>
      <c r="B217" s="1" t="s">
        <v>461</v>
      </c>
      <c r="C217" s="1" t="s">
        <v>6</v>
      </c>
      <c r="D217" s="1" t="s">
        <v>36</v>
      </c>
      <c r="E217" s="1" t="s">
        <v>151</v>
      </c>
    </row>
    <row r="218" spans="1:5" x14ac:dyDescent="0.4">
      <c r="A218" s="1" t="s">
        <v>462</v>
      </c>
      <c r="B218" s="1" t="s">
        <v>463</v>
      </c>
      <c r="C218" s="1" t="s">
        <v>6</v>
      </c>
      <c r="D218" s="1" t="s">
        <v>13</v>
      </c>
      <c r="E218" s="1" t="s">
        <v>204</v>
      </c>
    </row>
    <row r="219" spans="1:5" x14ac:dyDescent="0.4">
      <c r="A219" s="1" t="s">
        <v>464</v>
      </c>
      <c r="B219" s="1" t="s">
        <v>465</v>
      </c>
      <c r="C219" s="1" t="s">
        <v>39</v>
      </c>
      <c r="D219" s="1"/>
      <c r="E219" s="1" t="s">
        <v>151</v>
      </c>
    </row>
    <row r="220" spans="1:5" x14ac:dyDescent="0.4">
      <c r="A220" s="1" t="s">
        <v>466</v>
      </c>
      <c r="B220" s="1" t="s">
        <v>467</v>
      </c>
      <c r="C220" s="1" t="s">
        <v>6</v>
      </c>
      <c r="D220" s="1" t="s">
        <v>13</v>
      </c>
      <c r="E220" s="1" t="s">
        <v>151</v>
      </c>
    </row>
    <row r="221" spans="1:5" x14ac:dyDescent="0.4">
      <c r="A221" s="1" t="s">
        <v>468</v>
      </c>
      <c r="B221" s="1" t="s">
        <v>469</v>
      </c>
      <c r="C221" s="1" t="s">
        <v>56</v>
      </c>
      <c r="D221" s="1"/>
      <c r="E221" s="1" t="s">
        <v>151</v>
      </c>
    </row>
    <row r="222" spans="1:5" x14ac:dyDescent="0.4">
      <c r="A222" s="1" t="s">
        <v>470</v>
      </c>
      <c r="B222" s="1" t="s">
        <v>471</v>
      </c>
      <c r="C222" s="1" t="s">
        <v>39</v>
      </c>
      <c r="D222" s="1"/>
      <c r="E222" s="1" t="s">
        <v>151</v>
      </c>
    </row>
    <row r="223" spans="1:5" x14ac:dyDescent="0.4">
      <c r="A223" s="1" t="s">
        <v>472</v>
      </c>
      <c r="B223" s="1" t="s">
        <v>473</v>
      </c>
      <c r="C223" s="1" t="s">
        <v>6</v>
      </c>
      <c r="D223" s="1" t="s">
        <v>10</v>
      </c>
      <c r="E223" s="1" t="s">
        <v>151</v>
      </c>
    </row>
    <row r="224" spans="1:5" x14ac:dyDescent="0.4">
      <c r="A224" s="1" t="s">
        <v>474</v>
      </c>
      <c r="B224" s="1" t="s">
        <v>475</v>
      </c>
      <c r="C224" s="1" t="s">
        <v>6</v>
      </c>
      <c r="D224" s="1" t="s">
        <v>36</v>
      </c>
      <c r="E224" s="1" t="s">
        <v>204</v>
      </c>
    </row>
    <row r="225" spans="1:5" x14ac:dyDescent="0.4">
      <c r="A225" s="1" t="s">
        <v>476</v>
      </c>
      <c r="B225" s="1" t="s">
        <v>477</v>
      </c>
      <c r="C225" s="1" t="s">
        <v>6</v>
      </c>
      <c r="D225" s="1" t="s">
        <v>10</v>
      </c>
      <c r="E225" s="1" t="s">
        <v>151</v>
      </c>
    </row>
    <row r="226" spans="1:5" x14ac:dyDescent="0.4">
      <c r="A226" s="1" t="s">
        <v>478</v>
      </c>
      <c r="B226" s="1" t="s">
        <v>479</v>
      </c>
      <c r="C226" s="1" t="s">
        <v>39</v>
      </c>
      <c r="D226" s="1"/>
      <c r="E226" s="1" t="s">
        <v>151</v>
      </c>
    </row>
    <row r="227" spans="1:5" x14ac:dyDescent="0.4">
      <c r="A227" s="1" t="s">
        <v>480</v>
      </c>
      <c r="B227" s="1" t="s">
        <v>481</v>
      </c>
      <c r="C227" s="1" t="s">
        <v>6</v>
      </c>
      <c r="D227" s="1" t="s">
        <v>33</v>
      </c>
      <c r="E227" s="1" t="s">
        <v>151</v>
      </c>
    </row>
    <row r="228" spans="1:5" x14ac:dyDescent="0.4">
      <c r="A228" s="1" t="s">
        <v>482</v>
      </c>
      <c r="B228" s="1" t="s">
        <v>483</v>
      </c>
      <c r="C228" s="1" t="s">
        <v>6</v>
      </c>
      <c r="D228" s="1" t="s">
        <v>24</v>
      </c>
      <c r="E228" s="1" t="s">
        <v>151</v>
      </c>
    </row>
    <row r="229" spans="1:5" x14ac:dyDescent="0.4">
      <c r="A229" s="1" t="s">
        <v>484</v>
      </c>
      <c r="B229" s="1" t="s">
        <v>485</v>
      </c>
      <c r="C229" s="1" t="s">
        <v>39</v>
      </c>
      <c r="D229" s="1"/>
      <c r="E229" s="1" t="s">
        <v>151</v>
      </c>
    </row>
    <row r="230" spans="1:5" x14ac:dyDescent="0.4">
      <c r="A230" s="1" t="s">
        <v>486</v>
      </c>
      <c r="B230" s="1" t="s">
        <v>487</v>
      </c>
      <c r="C230" s="1" t="s">
        <v>6</v>
      </c>
      <c r="D230" s="1" t="s">
        <v>13</v>
      </c>
      <c r="E230" s="1" t="s">
        <v>151</v>
      </c>
    </row>
    <row r="231" spans="1:5" x14ac:dyDescent="0.4">
      <c r="A231" s="1" t="s">
        <v>488</v>
      </c>
      <c r="B231" s="1" t="s">
        <v>489</v>
      </c>
      <c r="C231" s="1" t="s">
        <v>6</v>
      </c>
      <c r="D231" s="1" t="s">
        <v>30</v>
      </c>
      <c r="E231" s="1" t="s">
        <v>151</v>
      </c>
    </row>
    <row r="232" spans="1:5" x14ac:dyDescent="0.4">
      <c r="A232" s="1" t="s">
        <v>490</v>
      </c>
      <c r="B232" s="1" t="s">
        <v>491</v>
      </c>
      <c r="C232" s="1" t="s">
        <v>6</v>
      </c>
      <c r="D232" s="1" t="s">
        <v>33</v>
      </c>
      <c r="E232" s="1" t="s">
        <v>151</v>
      </c>
    </row>
    <row r="233" spans="1:5" x14ac:dyDescent="0.4">
      <c r="A233" s="1" t="s">
        <v>492</v>
      </c>
      <c r="B233" s="1" t="s">
        <v>493</v>
      </c>
      <c r="C233" s="1" t="s">
        <v>39</v>
      </c>
      <c r="D233" s="1"/>
      <c r="E233" s="1" t="s">
        <v>151</v>
      </c>
    </row>
    <row r="234" spans="1:5" x14ac:dyDescent="0.4">
      <c r="A234" s="1" t="s">
        <v>494</v>
      </c>
      <c r="B234" s="1" t="s">
        <v>495</v>
      </c>
      <c r="C234" s="1" t="s">
        <v>56</v>
      </c>
      <c r="D234" s="1"/>
      <c r="E234" s="1" t="s">
        <v>151</v>
      </c>
    </row>
    <row r="235" spans="1:5" x14ac:dyDescent="0.4">
      <c r="A235" s="1" t="s">
        <v>496</v>
      </c>
      <c r="B235" s="1" t="s">
        <v>497</v>
      </c>
      <c r="C235" s="1" t="s">
        <v>6</v>
      </c>
      <c r="D235" s="1" t="s">
        <v>36</v>
      </c>
      <c r="E235" s="1" t="s">
        <v>151</v>
      </c>
    </row>
    <row r="236" spans="1:5" x14ac:dyDescent="0.4">
      <c r="A236" s="1" t="s">
        <v>498</v>
      </c>
      <c r="B236" s="1" t="s">
        <v>499</v>
      </c>
      <c r="C236" s="1" t="s">
        <v>6</v>
      </c>
      <c r="D236" s="1" t="s">
        <v>21</v>
      </c>
      <c r="E236" s="1" t="s">
        <v>151</v>
      </c>
    </row>
    <row r="237" spans="1:5" x14ac:dyDescent="0.4">
      <c r="A237" s="1" t="s">
        <v>500</v>
      </c>
      <c r="B237" s="1" t="s">
        <v>501</v>
      </c>
      <c r="C237" s="1" t="s">
        <v>6</v>
      </c>
      <c r="D237" s="1" t="s">
        <v>36</v>
      </c>
      <c r="E237" s="1" t="s">
        <v>151</v>
      </c>
    </row>
    <row r="238" spans="1:5" x14ac:dyDescent="0.4">
      <c r="A238" s="1" t="s">
        <v>502</v>
      </c>
      <c r="B238" s="1" t="s">
        <v>503</v>
      </c>
      <c r="C238" s="1" t="s">
        <v>6</v>
      </c>
      <c r="D238" s="1" t="s">
        <v>13</v>
      </c>
      <c r="E238" s="1" t="s">
        <v>151</v>
      </c>
    </row>
    <row r="239" spans="1:5" x14ac:dyDescent="0.4">
      <c r="A239" s="1" t="s">
        <v>504</v>
      </c>
      <c r="B239" s="1" t="s">
        <v>505</v>
      </c>
      <c r="C239" s="1" t="s">
        <v>39</v>
      </c>
      <c r="D239" s="1"/>
      <c r="E239" s="1" t="s">
        <v>151</v>
      </c>
    </row>
    <row r="240" spans="1:5" x14ac:dyDescent="0.4">
      <c r="A240" s="1" t="s">
        <v>506</v>
      </c>
      <c r="B240" s="1" t="s">
        <v>507</v>
      </c>
      <c r="C240" s="1" t="s">
        <v>6</v>
      </c>
      <c r="D240" s="1" t="s">
        <v>13</v>
      </c>
      <c r="E240" s="1" t="s">
        <v>151</v>
      </c>
    </row>
    <row r="241" spans="1:5" x14ac:dyDescent="0.4">
      <c r="A241" s="1" t="s">
        <v>508</v>
      </c>
      <c r="B241" s="1" t="s">
        <v>509</v>
      </c>
      <c r="C241" s="1" t="s">
        <v>39</v>
      </c>
      <c r="D241" s="1"/>
      <c r="E241" s="1" t="s">
        <v>204</v>
      </c>
    </row>
    <row r="242" spans="1:5" x14ac:dyDescent="0.4">
      <c r="A242" s="1" t="s">
        <v>510</v>
      </c>
      <c r="B242" s="1" t="s">
        <v>511</v>
      </c>
      <c r="C242" s="1" t="s">
        <v>6</v>
      </c>
      <c r="D242" s="1" t="s">
        <v>36</v>
      </c>
      <c r="E242" s="1" t="s">
        <v>151</v>
      </c>
    </row>
    <row r="243" spans="1:5" x14ac:dyDescent="0.4">
      <c r="A243" s="1" t="s">
        <v>512</v>
      </c>
      <c r="B243" s="1" t="s">
        <v>513</v>
      </c>
      <c r="C243" s="1" t="s">
        <v>39</v>
      </c>
      <c r="D243" s="1"/>
      <c r="E243" s="1" t="s">
        <v>151</v>
      </c>
    </row>
    <row r="244" spans="1:5" x14ac:dyDescent="0.4">
      <c r="A244" s="1" t="s">
        <v>514</v>
      </c>
      <c r="B244" s="1" t="s">
        <v>515</v>
      </c>
      <c r="C244" s="1" t="s">
        <v>6</v>
      </c>
      <c r="D244" s="1" t="s">
        <v>13</v>
      </c>
      <c r="E244" s="1" t="s">
        <v>151</v>
      </c>
    </row>
    <row r="245" spans="1:5" x14ac:dyDescent="0.4">
      <c r="A245" s="1" t="s">
        <v>516</v>
      </c>
      <c r="B245" s="1" t="s">
        <v>517</v>
      </c>
      <c r="C245" s="1" t="s">
        <v>6</v>
      </c>
      <c r="D245" s="1" t="s">
        <v>30</v>
      </c>
      <c r="E245" s="1" t="s">
        <v>151</v>
      </c>
    </row>
    <row r="246" spans="1:5" x14ac:dyDescent="0.4">
      <c r="A246" s="1" t="s">
        <v>518</v>
      </c>
      <c r="B246" s="1" t="s">
        <v>519</v>
      </c>
      <c r="C246" s="1" t="s">
        <v>56</v>
      </c>
      <c r="D246" s="1"/>
      <c r="E246" s="1" t="s">
        <v>151</v>
      </c>
    </row>
    <row r="247" spans="1:5" x14ac:dyDescent="0.4">
      <c r="A247" s="1" t="s">
        <v>520</v>
      </c>
      <c r="B247" s="1" t="s">
        <v>521</v>
      </c>
      <c r="C247" s="1" t="s">
        <v>39</v>
      </c>
      <c r="D247" s="1"/>
      <c r="E247" s="1" t="s">
        <v>151</v>
      </c>
    </row>
    <row r="248" spans="1:5" x14ac:dyDescent="0.4">
      <c r="A248" s="1" t="s">
        <v>522</v>
      </c>
      <c r="B248" s="1" t="s">
        <v>523</v>
      </c>
      <c r="C248" s="1" t="s">
        <v>6</v>
      </c>
      <c r="D248" s="1" t="s">
        <v>30</v>
      </c>
      <c r="E248" s="1" t="s">
        <v>151</v>
      </c>
    </row>
    <row r="249" spans="1:5" x14ac:dyDescent="0.4">
      <c r="A249" s="1" t="s">
        <v>524</v>
      </c>
      <c r="B249" s="1" t="s">
        <v>525</v>
      </c>
      <c r="C249" s="1" t="s">
        <v>39</v>
      </c>
      <c r="D249" s="1"/>
      <c r="E249" s="1" t="s">
        <v>151</v>
      </c>
    </row>
    <row r="250" spans="1:5" x14ac:dyDescent="0.4">
      <c r="A250" s="1" t="s">
        <v>526</v>
      </c>
      <c r="B250" s="1" t="s">
        <v>527</v>
      </c>
      <c r="C250" s="1" t="s">
        <v>6</v>
      </c>
      <c r="D250" s="1" t="s">
        <v>7</v>
      </c>
      <c r="E250" s="1" t="s">
        <v>151</v>
      </c>
    </row>
    <row r="251" spans="1:5" x14ac:dyDescent="0.4">
      <c r="A251" s="1" t="s">
        <v>528</v>
      </c>
      <c r="B251" s="1" t="s">
        <v>529</v>
      </c>
      <c r="C251" s="1" t="s">
        <v>6</v>
      </c>
      <c r="D251" s="1" t="s">
        <v>27</v>
      </c>
      <c r="E251" s="1" t="s">
        <v>204</v>
      </c>
    </row>
    <row r="252" spans="1:5" x14ac:dyDescent="0.4">
      <c r="A252" s="1" t="s">
        <v>530</v>
      </c>
      <c r="B252" s="1" t="s">
        <v>531</v>
      </c>
      <c r="C252" s="1" t="s">
        <v>6</v>
      </c>
      <c r="D252" s="1" t="s">
        <v>33</v>
      </c>
      <c r="E252" s="1" t="s">
        <v>151</v>
      </c>
    </row>
    <row r="253" spans="1:5" x14ac:dyDescent="0.4">
      <c r="A253" s="1" t="s">
        <v>532</v>
      </c>
      <c r="B253" s="1" t="s">
        <v>533</v>
      </c>
      <c r="C253" s="1" t="s">
        <v>6</v>
      </c>
      <c r="D253" s="1" t="s">
        <v>36</v>
      </c>
      <c r="E253" s="1" t="s">
        <v>151</v>
      </c>
    </row>
    <row r="254" spans="1:5" x14ac:dyDescent="0.4">
      <c r="A254" s="1" t="s">
        <v>534</v>
      </c>
      <c r="B254" s="1" t="s">
        <v>535</v>
      </c>
      <c r="C254" s="1" t="s">
        <v>39</v>
      </c>
      <c r="D254" s="1"/>
      <c r="E254" s="1" t="s">
        <v>151</v>
      </c>
    </row>
    <row r="255" spans="1:5" x14ac:dyDescent="0.4">
      <c r="A255" s="1" t="s">
        <v>536</v>
      </c>
      <c r="B255" s="1" t="s">
        <v>537</v>
      </c>
      <c r="C255" s="1" t="s">
        <v>39</v>
      </c>
      <c r="D255" s="1"/>
      <c r="E255" s="1" t="s">
        <v>151</v>
      </c>
    </row>
    <row r="256" spans="1:5" x14ac:dyDescent="0.4">
      <c r="A256" s="1" t="s">
        <v>538</v>
      </c>
      <c r="B256" s="1" t="s">
        <v>539</v>
      </c>
      <c r="C256" s="1" t="s">
        <v>39</v>
      </c>
      <c r="D256" s="1"/>
      <c r="E256" s="1" t="s">
        <v>151</v>
      </c>
    </row>
    <row r="257" spans="1:5" x14ac:dyDescent="0.4">
      <c r="A257" s="1" t="s">
        <v>540</v>
      </c>
      <c r="B257" s="1" t="s">
        <v>541</v>
      </c>
      <c r="C257" s="1" t="s">
        <v>39</v>
      </c>
      <c r="D257" s="1"/>
      <c r="E257" s="1" t="s">
        <v>156</v>
      </c>
    </row>
    <row r="258" spans="1:5" x14ac:dyDescent="0.4">
      <c r="A258" s="1" t="s">
        <v>542</v>
      </c>
      <c r="B258" s="1" t="s">
        <v>543</v>
      </c>
      <c r="C258" s="1" t="s">
        <v>39</v>
      </c>
      <c r="D258" s="1"/>
      <c r="E258" s="1" t="s">
        <v>125</v>
      </c>
    </row>
    <row r="259" spans="1:5" x14ac:dyDescent="0.4">
      <c r="A259" s="1" t="s">
        <v>544</v>
      </c>
      <c r="B259" s="1" t="s">
        <v>545</v>
      </c>
      <c r="C259" s="1" t="s">
        <v>39</v>
      </c>
      <c r="D259" s="1"/>
      <c r="E259" s="1" t="s">
        <v>18</v>
      </c>
    </row>
    <row r="260" spans="1:5" x14ac:dyDescent="0.4">
      <c r="A260" s="1" t="s">
        <v>546</v>
      </c>
      <c r="B260" s="1" t="s">
        <v>547</v>
      </c>
      <c r="C260" s="1" t="s">
        <v>39</v>
      </c>
      <c r="D260" s="1"/>
      <c r="E260" s="1" t="s">
        <v>161</v>
      </c>
    </row>
    <row r="261" spans="1:5" x14ac:dyDescent="0.4">
      <c r="A261" s="1" t="s">
        <v>548</v>
      </c>
      <c r="B261" s="1" t="s">
        <v>549</v>
      </c>
      <c r="C261" s="1" t="s">
        <v>39</v>
      </c>
      <c r="D261" s="1"/>
      <c r="E261" s="1" t="s">
        <v>130</v>
      </c>
    </row>
    <row r="262" spans="1:5" x14ac:dyDescent="0.4">
      <c r="A262" s="1" t="s">
        <v>550</v>
      </c>
      <c r="B262" s="1" t="s">
        <v>551</v>
      </c>
      <c r="C262" s="1" t="s">
        <v>39</v>
      </c>
      <c r="D262" s="1"/>
      <c r="E262" s="1" t="s">
        <v>135</v>
      </c>
    </row>
    <row r="263" spans="1:5" x14ac:dyDescent="0.4">
      <c r="A263" s="1" t="s">
        <v>552</v>
      </c>
      <c r="B263" s="1" t="s">
        <v>553</v>
      </c>
      <c r="C263" s="1" t="s">
        <v>39</v>
      </c>
      <c r="D263" s="1"/>
      <c r="E263" s="1" t="s">
        <v>151</v>
      </c>
    </row>
    <row r="264" spans="1:5" x14ac:dyDescent="0.4">
      <c r="A264" s="1" t="s">
        <v>554</v>
      </c>
      <c r="B264" s="1" t="s">
        <v>555</v>
      </c>
      <c r="C264" s="1" t="s">
        <v>39</v>
      </c>
      <c r="D264" s="1"/>
      <c r="E264" s="1" t="s">
        <v>156</v>
      </c>
    </row>
    <row r="265" spans="1:5" x14ac:dyDescent="0.4">
      <c r="A265" s="1" t="s">
        <v>556</v>
      </c>
      <c r="B265" s="1" t="s">
        <v>557</v>
      </c>
      <c r="C265" s="1" t="s">
        <v>39</v>
      </c>
      <c r="D265" s="1"/>
      <c r="E265" s="1" t="s">
        <v>151</v>
      </c>
    </row>
    <row r="266" spans="1:5" x14ac:dyDescent="0.4">
      <c r="A266" s="1" t="s">
        <v>558</v>
      </c>
      <c r="B266" s="1" t="s">
        <v>559</v>
      </c>
      <c r="C266" s="1" t="s">
        <v>39</v>
      </c>
      <c r="D266" s="1"/>
      <c r="E266" s="1" t="s">
        <v>156</v>
      </c>
    </row>
    <row r="267" spans="1:5" x14ac:dyDescent="0.4">
      <c r="A267" s="1" t="s">
        <v>560</v>
      </c>
      <c r="B267" s="1" t="s">
        <v>561</v>
      </c>
      <c r="C267" s="1" t="s">
        <v>39</v>
      </c>
      <c r="D267" s="1"/>
      <c r="E267" s="1" t="s">
        <v>130</v>
      </c>
    </row>
    <row r="268" spans="1:5" x14ac:dyDescent="0.4">
      <c r="A268" s="1" t="s">
        <v>562</v>
      </c>
      <c r="B268" s="1" t="s">
        <v>563</v>
      </c>
      <c r="C268" s="1" t="s">
        <v>56</v>
      </c>
      <c r="D268" s="1"/>
      <c r="E268" s="1" t="s">
        <v>325</v>
      </c>
    </row>
    <row r="269" spans="1:5" x14ac:dyDescent="0.4">
      <c r="A269" s="1" t="s">
        <v>564</v>
      </c>
      <c r="B269" s="1" t="s">
        <v>565</v>
      </c>
      <c r="C269" s="1" t="s">
        <v>6</v>
      </c>
      <c r="D269" s="1" t="s">
        <v>13</v>
      </c>
      <c r="E269" s="1" t="s">
        <v>566</v>
      </c>
    </row>
    <row r="270" spans="1:5" x14ac:dyDescent="0.4">
      <c r="A270" s="1" t="s">
        <v>567</v>
      </c>
      <c r="B270" s="1" t="s">
        <v>568</v>
      </c>
      <c r="C270" s="1" t="s">
        <v>39</v>
      </c>
      <c r="D270" s="1"/>
      <c r="E270" s="1" t="s">
        <v>151</v>
      </c>
    </row>
    <row r="271" spans="1:5" x14ac:dyDescent="0.4">
      <c r="A271" s="1" t="s">
        <v>569</v>
      </c>
      <c r="B271" s="1" t="s">
        <v>570</v>
      </c>
      <c r="C271" s="1" t="s">
        <v>39</v>
      </c>
      <c r="D271" s="1"/>
      <c r="E271" s="1" t="s">
        <v>18</v>
      </c>
    </row>
    <row r="272" spans="1:5" x14ac:dyDescent="0.4">
      <c r="A272" s="1" t="s">
        <v>571</v>
      </c>
      <c r="B272" s="1" t="s">
        <v>572</v>
      </c>
      <c r="C272" s="1" t="s">
        <v>6</v>
      </c>
      <c r="D272" s="1" t="s">
        <v>10</v>
      </c>
      <c r="E272" s="1" t="s">
        <v>151</v>
      </c>
    </row>
    <row r="273" spans="1:5" x14ac:dyDescent="0.4">
      <c r="A273" s="1" t="s">
        <v>573</v>
      </c>
      <c r="B273" s="1" t="s">
        <v>574</v>
      </c>
      <c r="C273" s="1" t="s">
        <v>6</v>
      </c>
      <c r="D273" s="1" t="s">
        <v>24</v>
      </c>
      <c r="E273" s="1" t="s">
        <v>138</v>
      </c>
    </row>
    <row r="274" spans="1:5" x14ac:dyDescent="0.4">
      <c r="A274" s="1" t="s">
        <v>575</v>
      </c>
      <c r="B274" s="1" t="s">
        <v>576</v>
      </c>
      <c r="C274" s="1" t="s">
        <v>6</v>
      </c>
      <c r="D274" s="1" t="s">
        <v>33</v>
      </c>
      <c r="E274" s="1" t="s">
        <v>143</v>
      </c>
    </row>
    <row r="275" spans="1:5" x14ac:dyDescent="0.4">
      <c r="A275" s="1" t="s">
        <v>577</v>
      </c>
      <c r="B275" s="1" t="s">
        <v>578</v>
      </c>
      <c r="C275" s="1" t="s">
        <v>39</v>
      </c>
      <c r="D275" s="1"/>
      <c r="E275" s="1" t="s">
        <v>130</v>
      </c>
    </row>
    <row r="276" spans="1:5" x14ac:dyDescent="0.4">
      <c r="A276" s="1" t="s">
        <v>579</v>
      </c>
      <c r="B276" s="1" t="s">
        <v>580</v>
      </c>
      <c r="C276" s="1" t="s">
        <v>6</v>
      </c>
      <c r="D276" s="1" t="s">
        <v>16</v>
      </c>
      <c r="E276" s="1" t="s">
        <v>151</v>
      </c>
    </row>
    <row r="277" spans="1:5" x14ac:dyDescent="0.4">
      <c r="A277" s="1" t="s">
        <v>581</v>
      </c>
      <c r="B277" s="1" t="s">
        <v>582</v>
      </c>
      <c r="C277" s="1" t="s">
        <v>6</v>
      </c>
      <c r="D277" s="1" t="s">
        <v>7</v>
      </c>
      <c r="E277" s="1" t="s">
        <v>135</v>
      </c>
    </row>
    <row r="278" spans="1:5" x14ac:dyDescent="0.4">
      <c r="A278" s="1" t="s">
        <v>583</v>
      </c>
      <c r="B278" s="1" t="s">
        <v>584</v>
      </c>
      <c r="C278" s="1" t="s">
        <v>6</v>
      </c>
      <c r="D278" s="1" t="s">
        <v>10</v>
      </c>
      <c r="E278" s="1" t="s">
        <v>349</v>
      </c>
    </row>
    <row r="279" spans="1:5" x14ac:dyDescent="0.4">
      <c r="A279" s="1" t="s">
        <v>585</v>
      </c>
      <c r="B279" s="1" t="s">
        <v>586</v>
      </c>
      <c r="C279" s="1" t="s">
        <v>6</v>
      </c>
      <c r="D279" s="1" t="s">
        <v>10</v>
      </c>
      <c r="E279" s="1" t="s">
        <v>330</v>
      </c>
    </row>
    <row r="280" spans="1:5" x14ac:dyDescent="0.4">
      <c r="A280" s="1" t="s">
        <v>587</v>
      </c>
      <c r="B280" s="1" t="s">
        <v>588</v>
      </c>
      <c r="C280" s="1" t="s">
        <v>6</v>
      </c>
      <c r="D280" s="1" t="s">
        <v>21</v>
      </c>
      <c r="E280" s="1" t="s">
        <v>566</v>
      </c>
    </row>
    <row r="281" spans="1:5" x14ac:dyDescent="0.4">
      <c r="A281" s="1" t="s">
        <v>589</v>
      </c>
      <c r="B281" s="1" t="s">
        <v>590</v>
      </c>
      <c r="C281" s="1" t="s">
        <v>6</v>
      </c>
      <c r="D281" s="1" t="s">
        <v>24</v>
      </c>
      <c r="E281" s="1" t="s">
        <v>143</v>
      </c>
    </row>
    <row r="282" spans="1:5" x14ac:dyDescent="0.4">
      <c r="A282" s="1" t="s">
        <v>591</v>
      </c>
      <c r="B282" s="1" t="s">
        <v>592</v>
      </c>
      <c r="C282" s="1" t="s">
        <v>6</v>
      </c>
      <c r="D282" s="1" t="s">
        <v>27</v>
      </c>
      <c r="E282" s="1" t="s">
        <v>125</v>
      </c>
    </row>
    <row r="283" spans="1:5" x14ac:dyDescent="0.4">
      <c r="A283" s="1" t="s">
        <v>593</v>
      </c>
      <c r="B283" s="1" t="s">
        <v>594</v>
      </c>
      <c r="C283" s="1" t="s">
        <v>6</v>
      </c>
      <c r="D283" s="1" t="s">
        <v>36</v>
      </c>
      <c r="E283" s="1" t="s">
        <v>18</v>
      </c>
    </row>
    <row r="284" spans="1:5" x14ac:dyDescent="0.4">
      <c r="A284" s="1" t="s">
        <v>595</v>
      </c>
      <c r="B284" s="1" t="s">
        <v>596</v>
      </c>
      <c r="C284" s="1" t="s">
        <v>6</v>
      </c>
      <c r="D284" s="1" t="s">
        <v>33</v>
      </c>
      <c r="E284" s="1" t="s">
        <v>349</v>
      </c>
    </row>
    <row r="285" spans="1:5" x14ac:dyDescent="0.4">
      <c r="A285" s="1" t="s">
        <v>597</v>
      </c>
      <c r="B285" s="1" t="s">
        <v>598</v>
      </c>
      <c r="C285" s="1" t="s">
        <v>39</v>
      </c>
      <c r="D285" s="1"/>
      <c r="E285" s="1" t="s">
        <v>151</v>
      </c>
    </row>
    <row r="286" spans="1:5" x14ac:dyDescent="0.4">
      <c r="A286" s="1" t="s">
        <v>599</v>
      </c>
      <c r="B286" s="1" t="s">
        <v>600</v>
      </c>
      <c r="C286" s="1" t="s">
        <v>39</v>
      </c>
      <c r="D286" s="1"/>
      <c r="E286" s="1" t="s">
        <v>349</v>
      </c>
    </row>
    <row r="287" spans="1:5" x14ac:dyDescent="0.4">
      <c r="A287" s="1" t="s">
        <v>601</v>
      </c>
      <c r="B287" s="1" t="s">
        <v>602</v>
      </c>
      <c r="C287" s="1" t="s">
        <v>39</v>
      </c>
      <c r="D287" s="1"/>
      <c r="E287" s="1" t="s">
        <v>148</v>
      </c>
    </row>
    <row r="288" spans="1:5" x14ac:dyDescent="0.4">
      <c r="A288" s="1" t="s">
        <v>603</v>
      </c>
      <c r="B288" s="1" t="s">
        <v>604</v>
      </c>
      <c r="C288" s="1" t="s">
        <v>39</v>
      </c>
      <c r="D288" s="1"/>
      <c r="E288" s="1" t="s">
        <v>185</v>
      </c>
    </row>
    <row r="289" spans="1:5" x14ac:dyDescent="0.4">
      <c r="A289" s="1" t="s">
        <v>605</v>
      </c>
      <c r="B289" s="1" t="s">
        <v>606</v>
      </c>
      <c r="C289" s="1" t="s">
        <v>39</v>
      </c>
      <c r="D289" s="1"/>
      <c r="E289" s="1" t="s">
        <v>130</v>
      </c>
    </row>
    <row r="290" spans="1:5" x14ac:dyDescent="0.4">
      <c r="A290" s="1" t="s">
        <v>607</v>
      </c>
      <c r="B290" s="1" t="s">
        <v>608</v>
      </c>
      <c r="C290" s="1" t="s">
        <v>39</v>
      </c>
      <c r="D290" s="1"/>
      <c r="E290" s="1" t="s">
        <v>135</v>
      </c>
    </row>
    <row r="291" spans="1:5" x14ac:dyDescent="0.4">
      <c r="A291" s="1" t="s">
        <v>609</v>
      </c>
      <c r="B291" s="1" t="s">
        <v>610</v>
      </c>
      <c r="C291" s="1" t="s">
        <v>39</v>
      </c>
      <c r="D291" s="1"/>
      <c r="E291" s="1" t="s">
        <v>166</v>
      </c>
    </row>
    <row r="292" spans="1:5" x14ac:dyDescent="0.4">
      <c r="A292" s="1" t="s">
        <v>611</v>
      </c>
      <c r="B292" s="1" t="s">
        <v>612</v>
      </c>
      <c r="C292" s="1" t="s">
        <v>39</v>
      </c>
      <c r="D292" s="1"/>
      <c r="E292" s="1" t="s">
        <v>125</v>
      </c>
    </row>
    <row r="293" spans="1:5" x14ac:dyDescent="0.4">
      <c r="A293" s="1" t="s">
        <v>613</v>
      </c>
      <c r="B293" s="1" t="s">
        <v>614</v>
      </c>
      <c r="C293" s="1" t="s">
        <v>39</v>
      </c>
      <c r="D293" s="1"/>
      <c r="E293" s="1" t="s">
        <v>615</v>
      </c>
    </row>
    <row r="294" spans="1:5" x14ac:dyDescent="0.4">
      <c r="A294" s="1" t="s">
        <v>616</v>
      </c>
      <c r="B294" s="1" t="s">
        <v>617</v>
      </c>
      <c r="C294" s="1" t="s">
        <v>39</v>
      </c>
      <c r="D294" s="1"/>
      <c r="E294" s="1" t="s">
        <v>330</v>
      </c>
    </row>
    <row r="295" spans="1:5" x14ac:dyDescent="0.4">
      <c r="A295" s="1" t="s">
        <v>618</v>
      </c>
      <c r="B295" s="1" t="s">
        <v>619</v>
      </c>
      <c r="C295" s="1" t="s">
        <v>39</v>
      </c>
      <c r="D295" s="1"/>
      <c r="E295" s="1" t="s">
        <v>125</v>
      </c>
    </row>
    <row r="296" spans="1:5" x14ac:dyDescent="0.4">
      <c r="A296" s="1" t="s">
        <v>620</v>
      </c>
      <c r="B296" s="1" t="s">
        <v>621</v>
      </c>
      <c r="C296" s="1" t="s">
        <v>39</v>
      </c>
      <c r="D296" s="1"/>
      <c r="E296" s="1" t="s">
        <v>166</v>
      </c>
    </row>
    <row r="297" spans="1:5" x14ac:dyDescent="0.4">
      <c r="A297" s="1" t="s">
        <v>622</v>
      </c>
      <c r="B297" s="1" t="s">
        <v>623</v>
      </c>
      <c r="C297" s="1" t="s">
        <v>39</v>
      </c>
      <c r="D297" s="1"/>
      <c r="E297" s="1" t="s">
        <v>624</v>
      </c>
    </row>
    <row r="298" spans="1:5" x14ac:dyDescent="0.4">
      <c r="A298" s="1" t="s">
        <v>625</v>
      </c>
      <c r="B298" s="1" t="s">
        <v>626</v>
      </c>
      <c r="C298" s="1" t="s">
        <v>39</v>
      </c>
      <c r="D298" s="1"/>
      <c r="E298" s="1" t="s">
        <v>627</v>
      </c>
    </row>
    <row r="299" spans="1:5" x14ac:dyDescent="0.4">
      <c r="A299" s="1" t="s">
        <v>628</v>
      </c>
      <c r="B299" s="1" t="s">
        <v>629</v>
      </c>
      <c r="C299" s="1" t="s">
        <v>39</v>
      </c>
      <c r="D299" s="1"/>
      <c r="E299" s="1" t="s">
        <v>125</v>
      </c>
    </row>
    <row r="300" spans="1:5" x14ac:dyDescent="0.4">
      <c r="A300" s="1" t="s">
        <v>630</v>
      </c>
      <c r="B300" s="1" t="s">
        <v>631</v>
      </c>
      <c r="C300" s="1" t="s">
        <v>39</v>
      </c>
      <c r="D300" s="1"/>
      <c r="E300" s="1" t="s">
        <v>325</v>
      </c>
    </row>
    <row r="301" spans="1:5" x14ac:dyDescent="0.4">
      <c r="A301" s="1" t="s">
        <v>632</v>
      </c>
      <c r="B301" s="1" t="s">
        <v>633</v>
      </c>
      <c r="C301" s="1" t="s">
        <v>56</v>
      </c>
      <c r="D301" s="1"/>
      <c r="E301" s="1" t="s">
        <v>18</v>
      </c>
    </row>
    <row r="302" spans="1:5" x14ac:dyDescent="0.4">
      <c r="A302" s="1" t="s">
        <v>634</v>
      </c>
      <c r="B302" s="1" t="s">
        <v>635</v>
      </c>
      <c r="C302" s="1" t="s">
        <v>39</v>
      </c>
      <c r="D302" s="1"/>
      <c r="E302" s="1" t="s">
        <v>130</v>
      </c>
    </row>
    <row r="303" spans="1:5" x14ac:dyDescent="0.4">
      <c r="A303" s="1" t="s">
        <v>636</v>
      </c>
      <c r="B303" s="1" t="s">
        <v>637</v>
      </c>
      <c r="C303" s="1" t="s">
        <v>6</v>
      </c>
      <c r="D303" s="1" t="s">
        <v>24</v>
      </c>
      <c r="E303" s="1" t="s">
        <v>325</v>
      </c>
    </row>
    <row r="304" spans="1:5" x14ac:dyDescent="0.4">
      <c r="A304" s="1" t="s">
        <v>638</v>
      </c>
      <c r="B304" s="1" t="s">
        <v>639</v>
      </c>
      <c r="C304" s="1" t="s">
        <v>39</v>
      </c>
      <c r="D304" s="1"/>
      <c r="E304" s="1" t="s">
        <v>330</v>
      </c>
    </row>
    <row r="305" spans="1:5" x14ac:dyDescent="0.4">
      <c r="A305" s="1" t="s">
        <v>640</v>
      </c>
      <c r="B305" s="1" t="s">
        <v>641</v>
      </c>
      <c r="C305" s="1" t="s">
        <v>6</v>
      </c>
      <c r="D305" s="1" t="s">
        <v>16</v>
      </c>
      <c r="E305" s="1" t="s">
        <v>166</v>
      </c>
    </row>
    <row r="306" spans="1:5" x14ac:dyDescent="0.4">
      <c r="A306" s="1" t="s">
        <v>642</v>
      </c>
      <c r="B306" s="1" t="s">
        <v>643</v>
      </c>
      <c r="C306" s="1" t="s">
        <v>6</v>
      </c>
      <c r="D306" s="1" t="s">
        <v>36</v>
      </c>
      <c r="E306" s="1" t="s">
        <v>624</v>
      </c>
    </row>
    <row r="307" spans="1:5" x14ac:dyDescent="0.4">
      <c r="A307" s="1" t="s">
        <v>644</v>
      </c>
      <c r="B307" s="1" t="s">
        <v>645</v>
      </c>
      <c r="C307" s="1" t="s">
        <v>6</v>
      </c>
      <c r="D307" s="1" t="s">
        <v>21</v>
      </c>
      <c r="E307" s="1" t="s">
        <v>646</v>
      </c>
    </row>
    <row r="308" spans="1:5" x14ac:dyDescent="0.4">
      <c r="A308" s="1" t="s">
        <v>647</v>
      </c>
      <c r="B308" s="1" t="s">
        <v>648</v>
      </c>
      <c r="C308" s="1" t="s">
        <v>6</v>
      </c>
      <c r="D308" s="1" t="s">
        <v>24</v>
      </c>
      <c r="E308" s="1" t="s">
        <v>135</v>
      </c>
    </row>
    <row r="309" spans="1:5" x14ac:dyDescent="0.4">
      <c r="A309" s="1" t="s">
        <v>649</v>
      </c>
      <c r="B309" s="1" t="s">
        <v>650</v>
      </c>
      <c r="C309" s="1" t="s">
        <v>6</v>
      </c>
      <c r="D309" s="1" t="s">
        <v>27</v>
      </c>
      <c r="E309" s="1" t="s">
        <v>125</v>
      </c>
    </row>
    <row r="310" spans="1:5" x14ac:dyDescent="0.4">
      <c r="A310" s="1" t="s">
        <v>651</v>
      </c>
      <c r="B310" s="1" t="s">
        <v>652</v>
      </c>
      <c r="C310" s="1" t="s">
        <v>6</v>
      </c>
      <c r="D310" s="1" t="s">
        <v>30</v>
      </c>
      <c r="E310" s="1" t="s">
        <v>18</v>
      </c>
    </row>
    <row r="311" spans="1:5" x14ac:dyDescent="0.4">
      <c r="A311" s="1" t="s">
        <v>653</v>
      </c>
      <c r="B311" s="1" t="s">
        <v>654</v>
      </c>
      <c r="C311" s="1" t="s">
        <v>6</v>
      </c>
      <c r="D311" s="1" t="s">
        <v>33</v>
      </c>
      <c r="E311" s="1" t="s">
        <v>138</v>
      </c>
    </row>
    <row r="312" spans="1:5" x14ac:dyDescent="0.4">
      <c r="A312" s="1" t="s">
        <v>655</v>
      </c>
      <c r="B312" s="1" t="s">
        <v>656</v>
      </c>
      <c r="C312" s="1" t="s">
        <v>39</v>
      </c>
      <c r="D312" s="1"/>
      <c r="E312" s="1" t="s">
        <v>148</v>
      </c>
    </row>
    <row r="313" spans="1:5" x14ac:dyDescent="0.4">
      <c r="A313" s="1" t="s">
        <v>657</v>
      </c>
      <c r="B313" s="1" t="s">
        <v>658</v>
      </c>
      <c r="C313" s="1" t="s">
        <v>6</v>
      </c>
      <c r="D313" s="1" t="s">
        <v>13</v>
      </c>
      <c r="E313" s="1" t="s">
        <v>151</v>
      </c>
    </row>
    <row r="314" spans="1:5" x14ac:dyDescent="0.4">
      <c r="A314" s="1" t="s">
        <v>659</v>
      </c>
      <c r="B314" s="1" t="s">
        <v>660</v>
      </c>
      <c r="C314" s="1" t="s">
        <v>39</v>
      </c>
      <c r="D314" s="1"/>
      <c r="E314" s="1" t="s">
        <v>156</v>
      </c>
    </row>
    <row r="315" spans="1:5" x14ac:dyDescent="0.4">
      <c r="A315" s="1" t="s">
        <v>661</v>
      </c>
      <c r="B315" s="1" t="s">
        <v>662</v>
      </c>
      <c r="C315" s="1" t="s">
        <v>39</v>
      </c>
      <c r="D315" s="1"/>
      <c r="E315" s="1" t="s">
        <v>204</v>
      </c>
    </row>
    <row r="316" spans="1:5" x14ac:dyDescent="0.4">
      <c r="A316" s="1" t="s">
        <v>663</v>
      </c>
      <c r="B316" s="1" t="s">
        <v>664</v>
      </c>
      <c r="C316" s="1" t="s">
        <v>39</v>
      </c>
      <c r="D316" s="1"/>
      <c r="E316" s="1" t="s">
        <v>130</v>
      </c>
    </row>
    <row r="317" spans="1:5" x14ac:dyDescent="0.4">
      <c r="A317" s="1" t="s">
        <v>665</v>
      </c>
      <c r="B317" s="1" t="s">
        <v>666</v>
      </c>
      <c r="C317" s="1" t="s">
        <v>6</v>
      </c>
      <c r="D317" s="1" t="s">
        <v>21</v>
      </c>
      <c r="E317" s="1" t="s">
        <v>185</v>
      </c>
    </row>
    <row r="318" spans="1:5" x14ac:dyDescent="0.4">
      <c r="A318" s="1" t="s">
        <v>667</v>
      </c>
      <c r="B318" s="1" t="s">
        <v>668</v>
      </c>
      <c r="C318" s="1" t="s">
        <v>6</v>
      </c>
      <c r="D318" s="1" t="s">
        <v>36</v>
      </c>
      <c r="E318" s="1" t="s">
        <v>151</v>
      </c>
    </row>
    <row r="319" spans="1:5" x14ac:dyDescent="0.4">
      <c r="A319" s="1" t="s">
        <v>669</v>
      </c>
      <c r="B319" s="1" t="s">
        <v>670</v>
      </c>
      <c r="C319" s="1" t="s">
        <v>39</v>
      </c>
      <c r="D319" s="1"/>
      <c r="E319" s="1" t="s">
        <v>349</v>
      </c>
    </row>
    <row r="320" spans="1:5" x14ac:dyDescent="0.4">
      <c r="A320" s="1" t="s">
        <v>671</v>
      </c>
      <c r="B320" s="1" t="s">
        <v>672</v>
      </c>
      <c r="C320" s="1" t="s">
        <v>6</v>
      </c>
      <c r="D320" s="1" t="s">
        <v>13</v>
      </c>
      <c r="E320" s="1" t="s">
        <v>135</v>
      </c>
    </row>
    <row r="321" spans="1:5" x14ac:dyDescent="0.4">
      <c r="A321" s="1" t="s">
        <v>673</v>
      </c>
      <c r="B321" s="1" t="s">
        <v>674</v>
      </c>
      <c r="C321" s="1" t="s">
        <v>39</v>
      </c>
      <c r="D321" s="1"/>
      <c r="E321" s="1" t="s">
        <v>138</v>
      </c>
    </row>
    <row r="322" spans="1:5" x14ac:dyDescent="0.4">
      <c r="A322" s="1" t="s">
        <v>675</v>
      </c>
      <c r="B322" s="1" t="s">
        <v>676</v>
      </c>
      <c r="C322" s="1" t="s">
        <v>39</v>
      </c>
      <c r="D322" s="1"/>
      <c r="E322" s="1" t="s">
        <v>646</v>
      </c>
    </row>
    <row r="323" spans="1:5" x14ac:dyDescent="0.4">
      <c r="A323" s="1" t="s">
        <v>677</v>
      </c>
      <c r="B323" s="1" t="s">
        <v>678</v>
      </c>
      <c r="C323" s="1" t="s">
        <v>6</v>
      </c>
      <c r="D323" s="1" t="s">
        <v>16</v>
      </c>
      <c r="E323" s="1" t="s">
        <v>143</v>
      </c>
    </row>
    <row r="324" spans="1:5" x14ac:dyDescent="0.4">
      <c r="A324" s="1" t="s">
        <v>679</v>
      </c>
      <c r="B324" s="1" t="s">
        <v>680</v>
      </c>
      <c r="C324" s="1" t="s">
        <v>39</v>
      </c>
      <c r="D324" s="1"/>
      <c r="E324" s="1" t="s">
        <v>325</v>
      </c>
    </row>
    <row r="325" spans="1:5" x14ac:dyDescent="0.4">
      <c r="A325" s="1" t="s">
        <v>681</v>
      </c>
      <c r="B325" s="1" t="s">
        <v>682</v>
      </c>
      <c r="C325" s="1" t="s">
        <v>6</v>
      </c>
      <c r="D325" s="1" t="s">
        <v>24</v>
      </c>
      <c r="E325" s="1" t="s">
        <v>130</v>
      </c>
    </row>
    <row r="326" spans="1:5" x14ac:dyDescent="0.4">
      <c r="A326" s="1" t="s">
        <v>683</v>
      </c>
      <c r="B326" s="1" t="s">
        <v>684</v>
      </c>
      <c r="C326" s="1" t="s">
        <v>39</v>
      </c>
      <c r="D326" s="1"/>
      <c r="E326" s="1" t="s">
        <v>566</v>
      </c>
    </row>
    <row r="327" spans="1:5" x14ac:dyDescent="0.4">
      <c r="A327" s="1" t="s">
        <v>685</v>
      </c>
      <c r="B327" s="1" t="s">
        <v>686</v>
      </c>
      <c r="C327" s="1" t="s">
        <v>6</v>
      </c>
      <c r="D327" s="1" t="s">
        <v>10</v>
      </c>
      <c r="E327" s="1" t="s">
        <v>18</v>
      </c>
    </row>
    <row r="328" spans="1:5" x14ac:dyDescent="0.4">
      <c r="A328" s="1" t="s">
        <v>687</v>
      </c>
      <c r="B328" s="1" t="s">
        <v>688</v>
      </c>
      <c r="C328" s="1" t="s">
        <v>39</v>
      </c>
      <c r="D328" s="1"/>
      <c r="E328" s="1" t="s">
        <v>325</v>
      </c>
    </row>
    <row r="329" spans="1:5" x14ac:dyDescent="0.4">
      <c r="A329" s="1" t="s">
        <v>689</v>
      </c>
      <c r="B329" s="1" t="s">
        <v>690</v>
      </c>
      <c r="C329" s="1" t="s">
        <v>39</v>
      </c>
      <c r="D329" s="1"/>
      <c r="E329" s="1" t="s">
        <v>18</v>
      </c>
    </row>
    <row r="330" spans="1:5" x14ac:dyDescent="0.4">
      <c r="A330" s="1" t="s">
        <v>691</v>
      </c>
      <c r="B330" s="1" t="s">
        <v>692</v>
      </c>
      <c r="C330" s="1" t="s">
        <v>6</v>
      </c>
      <c r="D330" s="1" t="s">
        <v>16</v>
      </c>
      <c r="E330" s="1" t="s">
        <v>135</v>
      </c>
    </row>
    <row r="331" spans="1:5" x14ac:dyDescent="0.4">
      <c r="A331" s="1" t="s">
        <v>693</v>
      </c>
      <c r="B331" s="1" t="s">
        <v>694</v>
      </c>
      <c r="C331" s="1" t="s">
        <v>39</v>
      </c>
      <c r="D331" s="1"/>
      <c r="E331" s="1" t="s">
        <v>151</v>
      </c>
    </row>
    <row r="332" spans="1:5" x14ac:dyDescent="0.4">
      <c r="A332" s="1" t="s">
        <v>695</v>
      </c>
      <c r="B332" s="1" t="s">
        <v>696</v>
      </c>
      <c r="C332" s="1" t="s">
        <v>39</v>
      </c>
      <c r="D332" s="1"/>
      <c r="E332" s="1" t="s">
        <v>204</v>
      </c>
    </row>
    <row r="333" spans="1:5" x14ac:dyDescent="0.4">
      <c r="A333" s="1" t="s">
        <v>697</v>
      </c>
      <c r="B333" s="1" t="s">
        <v>698</v>
      </c>
      <c r="C333" s="1" t="s">
        <v>6</v>
      </c>
      <c r="D333" s="1" t="s">
        <v>10</v>
      </c>
      <c r="E333" s="1" t="s">
        <v>325</v>
      </c>
    </row>
    <row r="334" spans="1:5" x14ac:dyDescent="0.4">
      <c r="A334" s="1" t="s">
        <v>699</v>
      </c>
      <c r="B334" s="1" t="s">
        <v>700</v>
      </c>
      <c r="C334" s="1" t="s">
        <v>6</v>
      </c>
      <c r="D334" s="1" t="s">
        <v>13</v>
      </c>
      <c r="E334" s="1" t="s">
        <v>615</v>
      </c>
    </row>
    <row r="335" spans="1:5" x14ac:dyDescent="0.4">
      <c r="A335" s="1" t="s">
        <v>701</v>
      </c>
      <c r="B335" s="1" t="s">
        <v>702</v>
      </c>
      <c r="C335" s="1" t="s">
        <v>39</v>
      </c>
      <c r="D335" s="1"/>
      <c r="E335" s="1" t="s">
        <v>646</v>
      </c>
    </row>
    <row r="336" spans="1:5" x14ac:dyDescent="0.4">
      <c r="A336" s="1" t="s">
        <v>703</v>
      </c>
      <c r="B336" s="1" t="s">
        <v>704</v>
      </c>
      <c r="C336" s="1" t="s">
        <v>39</v>
      </c>
      <c r="D336" s="1"/>
      <c r="E336" s="1" t="s">
        <v>18</v>
      </c>
    </row>
    <row r="337" spans="1:5" x14ac:dyDescent="0.4">
      <c r="A337" s="1" t="s">
        <v>705</v>
      </c>
      <c r="B337" s="1" t="s">
        <v>706</v>
      </c>
      <c r="C337" s="1" t="s">
        <v>56</v>
      </c>
      <c r="D337" s="1"/>
      <c r="E337" s="1" t="s">
        <v>135</v>
      </c>
    </row>
    <row r="338" spans="1:5" x14ac:dyDescent="0.4">
      <c r="A338" s="1" t="s">
        <v>707</v>
      </c>
      <c r="B338" s="1" t="s">
        <v>708</v>
      </c>
      <c r="C338" s="1" t="s">
        <v>39</v>
      </c>
      <c r="D338" s="1"/>
      <c r="E338" s="1" t="s">
        <v>156</v>
      </c>
    </row>
    <row r="339" spans="1:5" x14ac:dyDescent="0.4">
      <c r="A339" s="1" t="s">
        <v>709</v>
      </c>
      <c r="B339" s="1" t="s">
        <v>710</v>
      </c>
      <c r="C339" s="1" t="s">
        <v>6</v>
      </c>
      <c r="D339" s="1" t="s">
        <v>10</v>
      </c>
      <c r="E339" s="1" t="s">
        <v>138</v>
      </c>
    </row>
    <row r="340" spans="1:5" x14ac:dyDescent="0.4">
      <c r="A340" s="1" t="s">
        <v>711</v>
      </c>
      <c r="B340" s="1" t="s">
        <v>712</v>
      </c>
      <c r="C340" s="1" t="s">
        <v>39</v>
      </c>
      <c r="D340" s="1"/>
      <c r="E340" s="1" t="s">
        <v>349</v>
      </c>
    </row>
    <row r="341" spans="1:5" x14ac:dyDescent="0.4">
      <c r="A341" s="1" t="s">
        <v>713</v>
      </c>
      <c r="B341" s="1" t="s">
        <v>714</v>
      </c>
      <c r="C341" s="1" t="s">
        <v>39</v>
      </c>
      <c r="D341" s="1"/>
      <c r="E341" s="1" t="s">
        <v>715</v>
      </c>
    </row>
    <row r="342" spans="1:5" x14ac:dyDescent="0.4">
      <c r="A342" s="1" t="s">
        <v>716</v>
      </c>
      <c r="B342" s="1" t="s">
        <v>717</v>
      </c>
      <c r="C342" s="1" t="s">
        <v>6</v>
      </c>
      <c r="D342" s="1" t="s">
        <v>30</v>
      </c>
      <c r="E342" s="1" t="s">
        <v>151</v>
      </c>
    </row>
    <row r="343" spans="1:5" x14ac:dyDescent="0.4">
      <c r="A343" s="1" t="s">
        <v>718</v>
      </c>
      <c r="B343" s="1" t="s">
        <v>719</v>
      </c>
      <c r="C343" s="1" t="s">
        <v>39</v>
      </c>
      <c r="D343" s="1"/>
      <c r="E343" s="1" t="s">
        <v>566</v>
      </c>
    </row>
    <row r="344" spans="1:5" x14ac:dyDescent="0.4">
      <c r="A344" s="1" t="s">
        <v>720</v>
      </c>
      <c r="B344" s="1" t="s">
        <v>721</v>
      </c>
      <c r="C344" s="1" t="s">
        <v>6</v>
      </c>
      <c r="D344" s="1" t="s">
        <v>21</v>
      </c>
      <c r="E344" s="1" t="s">
        <v>349</v>
      </c>
    </row>
    <row r="345" spans="1:5" x14ac:dyDescent="0.4">
      <c r="A345" s="1" t="s">
        <v>722</v>
      </c>
      <c r="B345" s="1" t="s">
        <v>723</v>
      </c>
      <c r="C345" s="1" t="s">
        <v>56</v>
      </c>
      <c r="D345" s="1"/>
      <c r="E345" s="1" t="s">
        <v>130</v>
      </c>
    </row>
    <row r="346" spans="1:5" x14ac:dyDescent="0.4">
      <c r="A346" s="1" t="s">
        <v>724</v>
      </c>
      <c r="B346" s="1" t="s">
        <v>725</v>
      </c>
      <c r="C346" s="1" t="s">
        <v>39</v>
      </c>
      <c r="D346" s="1"/>
      <c r="E346" s="1" t="s">
        <v>161</v>
      </c>
    </row>
    <row r="347" spans="1:5" x14ac:dyDescent="0.4">
      <c r="A347" s="1" t="s">
        <v>726</v>
      </c>
      <c r="B347" s="1" t="s">
        <v>727</v>
      </c>
      <c r="C347" s="1" t="s">
        <v>39</v>
      </c>
      <c r="D347" s="1"/>
      <c r="E347" s="1" t="s">
        <v>130</v>
      </c>
    </row>
    <row r="348" spans="1:5" x14ac:dyDescent="0.4">
      <c r="A348" s="1" t="s">
        <v>728</v>
      </c>
      <c r="B348" s="1" t="s">
        <v>729</v>
      </c>
      <c r="C348" s="1" t="s">
        <v>6</v>
      </c>
      <c r="D348" s="1" t="s">
        <v>13</v>
      </c>
      <c r="E348" s="1" t="s">
        <v>730</v>
      </c>
    </row>
    <row r="349" spans="1:5" x14ac:dyDescent="0.4">
      <c r="A349" s="1" t="s">
        <v>731</v>
      </c>
      <c r="B349" s="1" t="s">
        <v>732</v>
      </c>
      <c r="C349" s="1" t="s">
        <v>39</v>
      </c>
      <c r="D349" s="1"/>
      <c r="E349" s="1" t="s">
        <v>646</v>
      </c>
    </row>
    <row r="350" spans="1:5" x14ac:dyDescent="0.4">
      <c r="A350" s="1" t="s">
        <v>733</v>
      </c>
      <c r="B350" s="1" t="s">
        <v>734</v>
      </c>
      <c r="C350" s="1" t="s">
        <v>56</v>
      </c>
      <c r="D350" s="1"/>
      <c r="E350" s="1" t="s">
        <v>566</v>
      </c>
    </row>
    <row r="351" spans="1:5" x14ac:dyDescent="0.4">
      <c r="A351" s="1" t="s">
        <v>735</v>
      </c>
      <c r="B351" s="1" t="s">
        <v>736</v>
      </c>
      <c r="C351" s="1" t="s">
        <v>39</v>
      </c>
      <c r="D351" s="1"/>
      <c r="E351" s="1" t="s">
        <v>156</v>
      </c>
    </row>
    <row r="352" spans="1:5" x14ac:dyDescent="0.4">
      <c r="A352" s="1" t="s">
        <v>737</v>
      </c>
      <c r="B352" s="1" t="s">
        <v>738</v>
      </c>
      <c r="C352" s="1" t="s">
        <v>6</v>
      </c>
      <c r="D352" s="1" t="s">
        <v>21</v>
      </c>
      <c r="E352" s="1" t="s">
        <v>325</v>
      </c>
    </row>
    <row r="353" spans="1:8" x14ac:dyDescent="0.4">
      <c r="A353" s="1" t="s">
        <v>739</v>
      </c>
      <c r="B353" s="1" t="s">
        <v>740</v>
      </c>
      <c r="C353" s="1" t="s">
        <v>6</v>
      </c>
      <c r="D353" s="1" t="s">
        <v>33</v>
      </c>
      <c r="E353" s="1" t="s">
        <v>646</v>
      </c>
    </row>
    <row r="354" spans="1:8" x14ac:dyDescent="0.4">
      <c r="A354" s="1" t="s">
        <v>741</v>
      </c>
      <c r="B354" s="1" t="s">
        <v>742</v>
      </c>
      <c r="C354" s="1" t="s">
        <v>6</v>
      </c>
      <c r="D354" s="1" t="s">
        <v>7</v>
      </c>
      <c r="E354" s="1" t="s">
        <v>715</v>
      </c>
      <c r="F354" s="1"/>
      <c r="G354" s="1"/>
      <c r="H354" s="1"/>
    </row>
    <row r="355" spans="1:8" x14ac:dyDescent="0.4">
      <c r="A355" s="1" t="s">
        <v>743</v>
      </c>
      <c r="B355" s="1" t="s">
        <v>744</v>
      </c>
      <c r="C355" s="1" t="s">
        <v>6</v>
      </c>
      <c r="D355" s="1" t="s">
        <v>13</v>
      </c>
      <c r="E355" s="1" t="s">
        <v>125</v>
      </c>
    </row>
    <row r="356" spans="1:8" x14ac:dyDescent="0.4">
      <c r="A356" s="1" t="s">
        <v>745</v>
      </c>
      <c r="B356" s="1" t="s">
        <v>746</v>
      </c>
      <c r="C356" s="1" t="s">
        <v>6</v>
      </c>
      <c r="D356" s="1" t="s">
        <v>10</v>
      </c>
      <c r="E356" s="1" t="s">
        <v>156</v>
      </c>
    </row>
    <row r="357" spans="1:8" x14ac:dyDescent="0.4">
      <c r="A357" s="1" t="s">
        <v>747</v>
      </c>
      <c r="B357" s="1" t="s">
        <v>748</v>
      </c>
      <c r="C357" s="1" t="s">
        <v>6</v>
      </c>
      <c r="D357" s="1" t="s">
        <v>24</v>
      </c>
      <c r="E357" s="1" t="s">
        <v>135</v>
      </c>
    </row>
    <row r="358" spans="1:8" x14ac:dyDescent="0.4">
      <c r="A358" s="1" t="s">
        <v>749</v>
      </c>
      <c r="B358" s="1" t="s">
        <v>750</v>
      </c>
      <c r="C358" s="1" t="s">
        <v>6</v>
      </c>
      <c r="D358" s="1" t="s">
        <v>24</v>
      </c>
      <c r="E358" s="1" t="s">
        <v>566</v>
      </c>
    </row>
    <row r="359" spans="1:8" x14ac:dyDescent="0.4">
      <c r="A359" s="1" t="s">
        <v>751</v>
      </c>
      <c r="B359" s="1" t="s">
        <v>752</v>
      </c>
      <c r="C359" s="1" t="s">
        <v>6</v>
      </c>
      <c r="D359" s="1" t="s">
        <v>36</v>
      </c>
      <c r="E359" s="1" t="s">
        <v>138</v>
      </c>
    </row>
    <row r="360" spans="1:8" x14ac:dyDescent="0.4">
      <c r="A360" s="1" t="s">
        <v>753</v>
      </c>
      <c r="B360" s="1" t="s">
        <v>754</v>
      </c>
      <c r="C360" s="1" t="s">
        <v>6</v>
      </c>
      <c r="D360" s="1" t="s">
        <v>10</v>
      </c>
      <c r="E360" s="1" t="s">
        <v>627</v>
      </c>
    </row>
    <row r="361" spans="1:8" x14ac:dyDescent="0.4">
      <c r="A361" s="1" t="s">
        <v>755</v>
      </c>
      <c r="B361" s="1" t="s">
        <v>756</v>
      </c>
      <c r="C361" s="1" t="s">
        <v>6</v>
      </c>
      <c r="D361" s="1" t="s">
        <v>24</v>
      </c>
      <c r="E361" s="1" t="s">
        <v>135</v>
      </c>
    </row>
    <row r="362" spans="1:8" x14ac:dyDescent="0.4">
      <c r="A362" s="1" t="s">
        <v>757</v>
      </c>
      <c r="B362" s="1" t="s">
        <v>758</v>
      </c>
      <c r="C362" s="1" t="s">
        <v>6</v>
      </c>
      <c r="D362" s="1" t="s">
        <v>10</v>
      </c>
      <c r="E362" s="1" t="s">
        <v>156</v>
      </c>
    </row>
    <row r="363" spans="1:8" x14ac:dyDescent="0.4">
      <c r="A363" s="1" t="s">
        <v>759</v>
      </c>
      <c r="B363" s="1" t="s">
        <v>760</v>
      </c>
      <c r="C363" s="1" t="s">
        <v>6</v>
      </c>
      <c r="D363" s="1" t="s">
        <v>10</v>
      </c>
      <c r="E363" s="1" t="s">
        <v>138</v>
      </c>
    </row>
    <row r="364" spans="1:8" ht="15.45" x14ac:dyDescent="0.4">
      <c r="A364" s="3" t="s">
        <v>761</v>
      </c>
      <c r="B364" s="3" t="s">
        <v>762</v>
      </c>
      <c r="C364" s="1" t="s">
        <v>6</v>
      </c>
      <c r="D364" s="3" t="s">
        <v>10</v>
      </c>
      <c r="E364" s="1" t="s">
        <v>566</v>
      </c>
    </row>
    <row r="365" spans="1:8" ht="15.45" x14ac:dyDescent="0.4">
      <c r="A365" s="3" t="s">
        <v>763</v>
      </c>
      <c r="B365" s="3" t="s">
        <v>764</v>
      </c>
      <c r="C365" s="1" t="s">
        <v>6</v>
      </c>
      <c r="D365" s="3" t="s">
        <v>16</v>
      </c>
      <c r="E365" s="1" t="s">
        <v>161</v>
      </c>
    </row>
    <row r="366" spans="1:8" ht="15.45" x14ac:dyDescent="0.4">
      <c r="A366" s="3" t="s">
        <v>765</v>
      </c>
      <c r="B366" s="3" t="s">
        <v>766</v>
      </c>
      <c r="C366" s="1" t="s">
        <v>6</v>
      </c>
      <c r="D366" s="3" t="s">
        <v>10</v>
      </c>
      <c r="E366" s="1" t="s">
        <v>156</v>
      </c>
    </row>
    <row r="367" spans="1:8" ht="15.45" x14ac:dyDescent="0.4">
      <c r="A367" s="3" t="s">
        <v>767</v>
      </c>
      <c r="B367" s="3" t="s">
        <v>768</v>
      </c>
      <c r="C367" s="1" t="s">
        <v>6</v>
      </c>
      <c r="D367" s="3" t="s">
        <v>13</v>
      </c>
      <c r="E367" s="1" t="s">
        <v>325</v>
      </c>
    </row>
    <row r="368" spans="1:8" ht="15.45" x14ac:dyDescent="0.4">
      <c r="A368" s="3" t="s">
        <v>769</v>
      </c>
      <c r="B368" s="3" t="s">
        <v>770</v>
      </c>
      <c r="C368" s="1" t="s">
        <v>6</v>
      </c>
      <c r="D368" s="3" t="s">
        <v>24</v>
      </c>
      <c r="E368" s="1" t="s">
        <v>624</v>
      </c>
    </row>
    <row r="369" spans="1:5" ht="15.45" x14ac:dyDescent="0.4">
      <c r="A369" s="3" t="s">
        <v>771</v>
      </c>
      <c r="B369" s="3" t="s">
        <v>772</v>
      </c>
      <c r="C369" s="1" t="s">
        <v>6</v>
      </c>
      <c r="D369" s="3" t="s">
        <v>13</v>
      </c>
      <c r="E369" s="1" t="s">
        <v>156</v>
      </c>
    </row>
    <row r="370" spans="1:5" ht="15.45" x14ac:dyDescent="0.4">
      <c r="A370" s="3" t="s">
        <v>773</v>
      </c>
      <c r="B370" s="3" t="s">
        <v>774</v>
      </c>
      <c r="C370" s="1" t="s">
        <v>6</v>
      </c>
      <c r="D370" s="1" t="s">
        <v>10</v>
      </c>
      <c r="E370" s="1" t="s">
        <v>349</v>
      </c>
    </row>
    <row r="371" spans="1:5" ht="15.45" x14ac:dyDescent="0.4">
      <c r="A371" s="3" t="s">
        <v>775</v>
      </c>
      <c r="B371" s="3" t="s">
        <v>776</v>
      </c>
      <c r="C371" s="1" t="s">
        <v>6</v>
      </c>
      <c r="D371" s="1" t="s">
        <v>33</v>
      </c>
      <c r="E371" s="1" t="s">
        <v>349</v>
      </c>
    </row>
    <row r="372" spans="1:5" ht="15.45" x14ac:dyDescent="0.4">
      <c r="A372" s="3" t="s">
        <v>777</v>
      </c>
      <c r="B372" s="3" t="s">
        <v>778</v>
      </c>
      <c r="C372" s="1" t="s">
        <v>6</v>
      </c>
      <c r="D372" s="1" t="s">
        <v>13</v>
      </c>
      <c r="E372" s="1" t="s">
        <v>349</v>
      </c>
    </row>
    <row r="373" spans="1:5" x14ac:dyDescent="0.4">
      <c r="A373" s="1" t="s">
        <v>779</v>
      </c>
      <c r="B373" s="1" t="s">
        <v>780</v>
      </c>
      <c r="C373" s="1" t="s">
        <v>6</v>
      </c>
      <c r="D373" s="1" t="s">
        <v>13</v>
      </c>
      <c r="E373" s="1" t="s">
        <v>125</v>
      </c>
    </row>
    <row r="374" spans="1:5" x14ac:dyDescent="0.4">
      <c r="A374" s="1" t="s">
        <v>781</v>
      </c>
      <c r="B374" s="1" t="s">
        <v>782</v>
      </c>
      <c r="C374" s="1" t="s">
        <v>6</v>
      </c>
      <c r="D374" s="1" t="s">
        <v>10</v>
      </c>
      <c r="E374" s="1" t="s">
        <v>143</v>
      </c>
    </row>
    <row r="375" spans="1:5" x14ac:dyDescent="0.4">
      <c r="A375" s="1" t="s">
        <v>744</v>
      </c>
      <c r="B375" s="1" t="s">
        <v>783</v>
      </c>
      <c r="C375" s="1" t="s">
        <v>6</v>
      </c>
      <c r="D375" s="1" t="s">
        <v>13</v>
      </c>
      <c r="E375" s="1" t="s">
        <v>125</v>
      </c>
    </row>
    <row r="376" spans="1:5" x14ac:dyDescent="0.4">
      <c r="A376" s="1" t="s">
        <v>784</v>
      </c>
      <c r="B376" s="1" t="s">
        <v>785</v>
      </c>
      <c r="C376" s="1" t="s">
        <v>6</v>
      </c>
      <c r="D376" s="1" t="s">
        <v>10</v>
      </c>
      <c r="E376" s="1" t="s">
        <v>730</v>
      </c>
    </row>
    <row r="377" spans="1:5" x14ac:dyDescent="0.4">
      <c r="A377" s="1" t="s">
        <v>786</v>
      </c>
      <c r="B377" s="1" t="s">
        <v>787</v>
      </c>
      <c r="C377" s="1" t="s">
        <v>6</v>
      </c>
      <c r="D377" s="1" t="s">
        <v>21</v>
      </c>
      <c r="E377" s="1" t="s">
        <v>349</v>
      </c>
    </row>
    <row r="378" spans="1:5" x14ac:dyDescent="0.4">
      <c r="A378" s="1" t="s">
        <v>788</v>
      </c>
      <c r="B378" s="1" t="s">
        <v>789</v>
      </c>
      <c r="C378" s="1" t="s">
        <v>6</v>
      </c>
      <c r="D378" s="1" t="s">
        <v>33</v>
      </c>
      <c r="E378" s="1" t="s">
        <v>156</v>
      </c>
    </row>
    <row r="379" spans="1:5" x14ac:dyDescent="0.4">
      <c r="A379" s="1" t="s">
        <v>790</v>
      </c>
      <c r="B379" s="1" t="s">
        <v>791</v>
      </c>
      <c r="C379" s="1" t="s">
        <v>6</v>
      </c>
      <c r="D379" s="1" t="s">
        <v>7</v>
      </c>
      <c r="E379" s="1" t="s">
        <v>135</v>
      </c>
    </row>
    <row r="380" spans="1:5" x14ac:dyDescent="0.4">
      <c r="A380" s="1" t="s">
        <v>792</v>
      </c>
      <c r="B380" s="1" t="s">
        <v>793</v>
      </c>
      <c r="C380" s="1" t="s">
        <v>6</v>
      </c>
      <c r="D380" s="1" t="s">
        <v>33</v>
      </c>
      <c r="E380" s="1" t="s">
        <v>151</v>
      </c>
    </row>
    <row r="381" spans="1:5" x14ac:dyDescent="0.4">
      <c r="A381" s="1" t="s">
        <v>794</v>
      </c>
      <c r="B381" s="1" t="s">
        <v>795</v>
      </c>
      <c r="C381" s="1" t="s">
        <v>6</v>
      </c>
      <c r="D381" s="1" t="s">
        <v>36</v>
      </c>
      <c r="E381" s="1" t="s">
        <v>161</v>
      </c>
    </row>
    <row r="382" spans="1:5" x14ac:dyDescent="0.4">
      <c r="A382" s="1" t="s">
        <v>796</v>
      </c>
      <c r="B382" s="1" t="s">
        <v>797</v>
      </c>
      <c r="C382" s="1" t="s">
        <v>6</v>
      </c>
      <c r="D382" s="1" t="s">
        <v>10</v>
      </c>
      <c r="E382" s="1" t="s">
        <v>349</v>
      </c>
    </row>
    <row r="383" spans="1:5" x14ac:dyDescent="0.4">
      <c r="A383" s="1" t="s">
        <v>798</v>
      </c>
      <c r="B383" s="1" t="s">
        <v>799</v>
      </c>
      <c r="C383" s="1" t="s">
        <v>6</v>
      </c>
      <c r="D383" s="1" t="s">
        <v>24</v>
      </c>
      <c r="E383" s="1" t="s">
        <v>349</v>
      </c>
    </row>
    <row r="384" spans="1:5" x14ac:dyDescent="0.4">
      <c r="A384" s="1" t="s">
        <v>800</v>
      </c>
      <c r="B384" s="1" t="s">
        <v>801</v>
      </c>
      <c r="C384" s="1" t="s">
        <v>6</v>
      </c>
      <c r="D384" s="1" t="s">
        <v>33</v>
      </c>
      <c r="E384" s="1" t="s">
        <v>615</v>
      </c>
    </row>
    <row r="385" spans="1:5" x14ac:dyDescent="0.4">
      <c r="A385" s="1" t="s">
        <v>802</v>
      </c>
      <c r="B385" s="1" t="s">
        <v>803</v>
      </c>
      <c r="C385" s="1" t="s">
        <v>6</v>
      </c>
      <c r="D385" s="1" t="s">
        <v>10</v>
      </c>
      <c r="E385" s="1" t="s">
        <v>151</v>
      </c>
    </row>
    <row r="386" spans="1:5" x14ac:dyDescent="0.4">
      <c r="A386" s="1" t="s">
        <v>804</v>
      </c>
      <c r="B386" s="1" t="s">
        <v>805</v>
      </c>
      <c r="C386" s="1" t="s">
        <v>6</v>
      </c>
      <c r="D386" s="1" t="s">
        <v>16</v>
      </c>
      <c r="E386" s="1" t="s">
        <v>646</v>
      </c>
    </row>
    <row r="387" spans="1:5" x14ac:dyDescent="0.4">
      <c r="A387" s="1" t="s">
        <v>806</v>
      </c>
      <c r="B387" s="1" t="s">
        <v>807</v>
      </c>
      <c r="C387" s="1" t="s">
        <v>6</v>
      </c>
      <c r="D387" s="1" t="s">
        <v>10</v>
      </c>
      <c r="E387" s="1" t="s">
        <v>156</v>
      </c>
    </row>
    <row r="388" spans="1:5" x14ac:dyDescent="0.4">
      <c r="A388" s="1" t="s">
        <v>808</v>
      </c>
      <c r="B388" s="1" t="s">
        <v>809</v>
      </c>
      <c r="C388" s="1" t="s">
        <v>6</v>
      </c>
      <c r="D388" s="1" t="s">
        <v>10</v>
      </c>
      <c r="E388" s="1" t="s">
        <v>185</v>
      </c>
    </row>
    <row r="389" spans="1:5" x14ac:dyDescent="0.4">
      <c r="A389" s="1" t="s">
        <v>810</v>
      </c>
      <c r="B389" s="1" t="s">
        <v>811</v>
      </c>
      <c r="C389" s="1" t="s">
        <v>6</v>
      </c>
      <c r="D389" s="1" t="s">
        <v>24</v>
      </c>
      <c r="E389" s="1" t="s">
        <v>135</v>
      </c>
    </row>
    <row r="390" spans="1:5" x14ac:dyDescent="0.4">
      <c r="A390" s="1" t="s">
        <v>812</v>
      </c>
      <c r="B390" s="1" t="s">
        <v>813</v>
      </c>
      <c r="C390" s="1" t="s">
        <v>6</v>
      </c>
      <c r="D390" s="1" t="s">
        <v>24</v>
      </c>
      <c r="E390" s="1" t="s">
        <v>166</v>
      </c>
    </row>
    <row r="391" spans="1:5" x14ac:dyDescent="0.4">
      <c r="A391" s="1" t="s">
        <v>814</v>
      </c>
      <c r="B391" s="1" t="s">
        <v>815</v>
      </c>
      <c r="C391" s="1" t="s">
        <v>6</v>
      </c>
      <c r="D391" s="1" t="s">
        <v>10</v>
      </c>
      <c r="E391" s="1" t="s">
        <v>349</v>
      </c>
    </row>
    <row r="392" spans="1:5" x14ac:dyDescent="0.4">
      <c r="A392" s="1" t="s">
        <v>816</v>
      </c>
      <c r="B392" s="1" t="s">
        <v>817</v>
      </c>
      <c r="C392" s="1" t="s">
        <v>6</v>
      </c>
      <c r="D392" s="1" t="s">
        <v>24</v>
      </c>
      <c r="E392" s="1" t="s">
        <v>130</v>
      </c>
    </row>
    <row r="393" spans="1:5" x14ac:dyDescent="0.4">
      <c r="A393" s="1" t="s">
        <v>818</v>
      </c>
      <c r="B393" s="1" t="s">
        <v>819</v>
      </c>
      <c r="C393" s="1" t="s">
        <v>6</v>
      </c>
      <c r="D393" s="1" t="s">
        <v>13</v>
      </c>
      <c r="E393" s="1" t="s">
        <v>566</v>
      </c>
    </row>
    <row r="394" spans="1:5" x14ac:dyDescent="0.4">
      <c r="A394" s="1" t="s">
        <v>820</v>
      </c>
      <c r="B394" s="1" t="s">
        <v>821</v>
      </c>
      <c r="C394" s="1" t="s">
        <v>6</v>
      </c>
      <c r="D394" s="1" t="s">
        <v>16</v>
      </c>
      <c r="E394" s="1" t="s">
        <v>627</v>
      </c>
    </row>
    <row r="395" spans="1:5" x14ac:dyDescent="0.4">
      <c r="A395" s="1" t="s">
        <v>822</v>
      </c>
      <c r="B395" s="1" t="s">
        <v>823</v>
      </c>
      <c r="C395" s="1" t="s">
        <v>6</v>
      </c>
      <c r="D395" s="1" t="s">
        <v>24</v>
      </c>
      <c r="E395" s="1" t="s">
        <v>715</v>
      </c>
    </row>
    <row r="396" spans="1:5" x14ac:dyDescent="0.4">
      <c r="A396" s="1" t="s">
        <v>824</v>
      </c>
      <c r="B396" s="1" t="s">
        <v>825</v>
      </c>
      <c r="C396" s="1" t="s">
        <v>6</v>
      </c>
      <c r="D396" s="1" t="s">
        <v>10</v>
      </c>
      <c r="E396" s="1" t="s">
        <v>18</v>
      </c>
    </row>
    <row r="397" spans="1:5" x14ac:dyDescent="0.4">
      <c r="A397" s="1" t="s">
        <v>826</v>
      </c>
      <c r="B397" s="1" t="s">
        <v>827</v>
      </c>
      <c r="C397" s="1" t="s">
        <v>6</v>
      </c>
      <c r="D397" s="1" t="s">
        <v>33</v>
      </c>
      <c r="E397" s="1" t="s">
        <v>730</v>
      </c>
    </row>
    <row r="398" spans="1:5" x14ac:dyDescent="0.4">
      <c r="A398" s="1" t="s">
        <v>828</v>
      </c>
      <c r="B398" s="1" t="s">
        <v>829</v>
      </c>
      <c r="C398" s="1" t="s">
        <v>6</v>
      </c>
      <c r="D398" s="1" t="s">
        <v>27</v>
      </c>
      <c r="E398" s="1" t="s">
        <v>125</v>
      </c>
    </row>
    <row r="399" spans="1:5" x14ac:dyDescent="0.4">
      <c r="A399" s="1" t="s">
        <v>830</v>
      </c>
      <c r="B399" s="1" t="s">
        <v>831</v>
      </c>
      <c r="C399" s="1" t="s">
        <v>6</v>
      </c>
      <c r="D399" s="1" t="s">
        <v>24</v>
      </c>
      <c r="E399" s="1" t="s">
        <v>130</v>
      </c>
    </row>
    <row r="400" spans="1:5" x14ac:dyDescent="0.4">
      <c r="A400" s="1" t="s">
        <v>832</v>
      </c>
      <c r="B400" s="1" t="s">
        <v>833</v>
      </c>
      <c r="C400" s="1" t="s">
        <v>6</v>
      </c>
      <c r="D400" s="1" t="s">
        <v>16</v>
      </c>
      <c r="E400" s="1" t="s">
        <v>166</v>
      </c>
    </row>
    <row r="401" spans="1:5" x14ac:dyDescent="0.4">
      <c r="A401" s="1" t="s">
        <v>834</v>
      </c>
      <c r="B401" s="1" t="s">
        <v>835</v>
      </c>
      <c r="C401" s="1" t="s">
        <v>6</v>
      </c>
      <c r="D401" s="1" t="s">
        <v>13</v>
      </c>
      <c r="E401" s="1" t="s">
        <v>566</v>
      </c>
    </row>
    <row r="402" spans="1:5" x14ac:dyDescent="0.4">
      <c r="A402" s="1" t="s">
        <v>836</v>
      </c>
      <c r="B402" s="1" t="s">
        <v>837</v>
      </c>
      <c r="C402" s="1" t="s">
        <v>6</v>
      </c>
      <c r="D402" s="1" t="s">
        <v>36</v>
      </c>
      <c r="E402" s="1" t="s">
        <v>18</v>
      </c>
    </row>
    <row r="403" spans="1:5" x14ac:dyDescent="0.4">
      <c r="A403" s="1" t="s">
        <v>838</v>
      </c>
      <c r="B403" s="1" t="s">
        <v>839</v>
      </c>
      <c r="C403" s="1" t="s">
        <v>6</v>
      </c>
      <c r="D403" s="1" t="s">
        <v>10</v>
      </c>
      <c r="E403" s="1" t="s">
        <v>156</v>
      </c>
    </row>
    <row r="404" spans="1:5" x14ac:dyDescent="0.4">
      <c r="A404" s="1" t="s">
        <v>840</v>
      </c>
      <c r="B404" s="1" t="s">
        <v>841</v>
      </c>
      <c r="C404" s="1" t="s">
        <v>6</v>
      </c>
      <c r="D404" s="1" t="s">
        <v>10</v>
      </c>
      <c r="E404" s="1" t="s">
        <v>143</v>
      </c>
    </row>
    <row r="405" spans="1:5" x14ac:dyDescent="0.4">
      <c r="A405" s="1" t="s">
        <v>842</v>
      </c>
      <c r="B405" s="1" t="s">
        <v>843</v>
      </c>
      <c r="C405" s="1" t="s">
        <v>6</v>
      </c>
      <c r="D405" s="1" t="s">
        <v>10</v>
      </c>
      <c r="E405" s="1" t="s">
        <v>185</v>
      </c>
    </row>
    <row r="406" spans="1:5" x14ac:dyDescent="0.4">
      <c r="A406" s="1" t="s">
        <v>844</v>
      </c>
      <c r="B406" s="1" t="s">
        <v>845</v>
      </c>
      <c r="C406" s="1" t="s">
        <v>6</v>
      </c>
      <c r="D406" s="1" t="s">
        <v>10</v>
      </c>
      <c r="E406" s="1" t="s">
        <v>349</v>
      </c>
    </row>
    <row r="407" spans="1:5" x14ac:dyDescent="0.4">
      <c r="A407" s="1" t="s">
        <v>846</v>
      </c>
      <c r="B407" s="1" t="s">
        <v>847</v>
      </c>
      <c r="C407" s="1" t="s">
        <v>6</v>
      </c>
      <c r="D407" s="1" t="s">
        <v>10</v>
      </c>
      <c r="E407" s="1" t="s">
        <v>138</v>
      </c>
    </row>
    <row r="408" spans="1:5" x14ac:dyDescent="0.4">
      <c r="A408" s="1" t="s">
        <v>848</v>
      </c>
      <c r="B408" s="1" t="s">
        <v>849</v>
      </c>
      <c r="C408" s="1" t="s">
        <v>6</v>
      </c>
      <c r="D408" s="1" t="s">
        <v>13</v>
      </c>
      <c r="E408" s="1" t="s">
        <v>615</v>
      </c>
    </row>
    <row r="409" spans="1:5" x14ac:dyDescent="0.4">
      <c r="A409" s="1" t="s">
        <v>850</v>
      </c>
      <c r="B409" s="1" t="s">
        <v>851</v>
      </c>
      <c r="C409" s="1" t="s">
        <v>6</v>
      </c>
      <c r="D409" s="1" t="s">
        <v>24</v>
      </c>
      <c r="E409" s="1" t="s">
        <v>161</v>
      </c>
    </row>
    <row r="410" spans="1:5" x14ac:dyDescent="0.4">
      <c r="A410" s="1" t="s">
        <v>852</v>
      </c>
      <c r="B410" s="1" t="s">
        <v>853</v>
      </c>
      <c r="C410" s="1" t="s">
        <v>6</v>
      </c>
      <c r="D410" s="1" t="s">
        <v>10</v>
      </c>
      <c r="E410" s="1" t="s">
        <v>627</v>
      </c>
    </row>
    <row r="411" spans="1:5" x14ac:dyDescent="0.4">
      <c r="A411" s="1" t="s">
        <v>854</v>
      </c>
      <c r="B411" s="1" t="s">
        <v>855</v>
      </c>
      <c r="C411" s="1" t="s">
        <v>6</v>
      </c>
      <c r="D411" s="1" t="s">
        <v>16</v>
      </c>
      <c r="E411" s="1" t="s">
        <v>185</v>
      </c>
    </row>
    <row r="412" spans="1:5" x14ac:dyDescent="0.4">
      <c r="A412" s="1" t="s">
        <v>856</v>
      </c>
      <c r="B412" s="1" t="s">
        <v>857</v>
      </c>
      <c r="C412" s="1" t="s">
        <v>6</v>
      </c>
      <c r="D412" s="1" t="s">
        <v>36</v>
      </c>
      <c r="E412" s="1" t="s">
        <v>18</v>
      </c>
    </row>
    <row r="413" spans="1:5" x14ac:dyDescent="0.4">
      <c r="A413" s="1" t="s">
        <v>858</v>
      </c>
      <c r="B413" s="1" t="s">
        <v>859</v>
      </c>
      <c r="C413" s="1" t="s">
        <v>6</v>
      </c>
      <c r="D413" s="1" t="s">
        <v>36</v>
      </c>
      <c r="E413" s="1" t="s">
        <v>349</v>
      </c>
    </row>
    <row r="414" spans="1:5" x14ac:dyDescent="0.4">
      <c r="A414" s="1" t="s">
        <v>860</v>
      </c>
      <c r="B414" s="1" t="s">
        <v>861</v>
      </c>
      <c r="C414" s="1" t="s">
        <v>6</v>
      </c>
      <c r="D414" s="1" t="s">
        <v>13</v>
      </c>
      <c r="E414" s="1" t="s">
        <v>646</v>
      </c>
    </row>
    <row r="415" spans="1:5" x14ac:dyDescent="0.4">
      <c r="A415" s="1" t="s">
        <v>862</v>
      </c>
      <c r="B415" s="1" t="s">
        <v>863</v>
      </c>
      <c r="C415" s="1" t="s">
        <v>6</v>
      </c>
      <c r="D415" s="1" t="s">
        <v>10</v>
      </c>
      <c r="E415" s="1" t="s">
        <v>566</v>
      </c>
    </row>
    <row r="416" spans="1:5" x14ac:dyDescent="0.4">
      <c r="A416" s="1" t="s">
        <v>864</v>
      </c>
      <c r="B416" s="1" t="s">
        <v>865</v>
      </c>
      <c r="C416" s="1" t="s">
        <v>6</v>
      </c>
      <c r="D416" s="1" t="s">
        <v>13</v>
      </c>
      <c r="E416" s="1" t="s">
        <v>185</v>
      </c>
    </row>
    <row r="417" spans="1:5" x14ac:dyDescent="0.4">
      <c r="A417" s="1" t="s">
        <v>866</v>
      </c>
      <c r="B417" s="1" t="s">
        <v>867</v>
      </c>
      <c r="C417" s="1" t="s">
        <v>6</v>
      </c>
      <c r="D417" s="1" t="s">
        <v>10</v>
      </c>
      <c r="E417" s="1" t="s">
        <v>138</v>
      </c>
    </row>
    <row r="418" spans="1:5" x14ac:dyDescent="0.4">
      <c r="A418" s="1" t="s">
        <v>868</v>
      </c>
      <c r="B418" s="1" t="s">
        <v>869</v>
      </c>
      <c r="C418" s="1" t="s">
        <v>6</v>
      </c>
      <c r="D418" s="1" t="s">
        <v>21</v>
      </c>
      <c r="E418" s="1" t="s">
        <v>325</v>
      </c>
    </row>
    <row r="419" spans="1:5" x14ac:dyDescent="0.4">
      <c r="A419" s="1" t="s">
        <v>870</v>
      </c>
      <c r="B419" s="1" t="s">
        <v>871</v>
      </c>
      <c r="C419" s="1" t="s">
        <v>6</v>
      </c>
      <c r="D419" s="1" t="s">
        <v>10</v>
      </c>
      <c r="E419" s="1" t="s">
        <v>138</v>
      </c>
    </row>
    <row r="420" spans="1:5" x14ac:dyDescent="0.4">
      <c r="A420" s="1" t="s">
        <v>872</v>
      </c>
      <c r="B420" s="1" t="s">
        <v>873</v>
      </c>
      <c r="C420" s="1" t="s">
        <v>6</v>
      </c>
      <c r="D420" s="1" t="s">
        <v>13</v>
      </c>
      <c r="E420" s="1" t="s">
        <v>615</v>
      </c>
    </row>
    <row r="421" spans="1:5" x14ac:dyDescent="0.4">
      <c r="A421" s="1" t="s">
        <v>874</v>
      </c>
      <c r="B421" s="1" t="s">
        <v>875</v>
      </c>
      <c r="C421" s="1" t="s">
        <v>6</v>
      </c>
      <c r="D421" s="1" t="s">
        <v>10</v>
      </c>
      <c r="E421" s="1" t="s">
        <v>349</v>
      </c>
    </row>
    <row r="422" spans="1:5" x14ac:dyDescent="0.4">
      <c r="A422" s="1" t="s">
        <v>876</v>
      </c>
      <c r="B422" s="1" t="s">
        <v>877</v>
      </c>
      <c r="C422" s="1" t="s">
        <v>6</v>
      </c>
      <c r="D422" s="1" t="s">
        <v>10</v>
      </c>
      <c r="E422" s="1" t="s">
        <v>138</v>
      </c>
    </row>
    <row r="423" spans="1:5" x14ac:dyDescent="0.4">
      <c r="A423" s="1" t="s">
        <v>878</v>
      </c>
      <c r="B423" s="1" t="s">
        <v>879</v>
      </c>
      <c r="C423" s="1" t="s">
        <v>6</v>
      </c>
      <c r="D423" s="1" t="s">
        <v>10</v>
      </c>
      <c r="E423" s="1" t="s">
        <v>166</v>
      </c>
    </row>
    <row r="424" spans="1:5" x14ac:dyDescent="0.4">
      <c r="A424" s="1" t="s">
        <v>880</v>
      </c>
      <c r="B424" s="1" t="s">
        <v>881</v>
      </c>
      <c r="C424" s="1" t="s">
        <v>6</v>
      </c>
      <c r="D424" s="1" t="s">
        <v>13</v>
      </c>
      <c r="E424" s="1" t="s">
        <v>615</v>
      </c>
    </row>
    <row r="425" spans="1:5" x14ac:dyDescent="0.4">
      <c r="A425" s="1" t="s">
        <v>882</v>
      </c>
      <c r="B425" s="1" t="s">
        <v>883</v>
      </c>
      <c r="C425" s="1" t="s">
        <v>6</v>
      </c>
      <c r="D425" s="1" t="s">
        <v>10</v>
      </c>
      <c r="E425" s="1" t="s">
        <v>627</v>
      </c>
    </row>
    <row r="426" spans="1:5" x14ac:dyDescent="0.4">
      <c r="A426" s="1" t="s">
        <v>884</v>
      </c>
      <c r="B426" s="1" t="s">
        <v>885</v>
      </c>
      <c r="C426" s="1" t="s">
        <v>6</v>
      </c>
      <c r="D426" s="1" t="s">
        <v>16</v>
      </c>
      <c r="E426" s="1" t="s">
        <v>730</v>
      </c>
    </row>
    <row r="427" spans="1:5" x14ac:dyDescent="0.4">
      <c r="A427" s="1" t="s">
        <v>886</v>
      </c>
      <c r="B427" s="1" t="s">
        <v>887</v>
      </c>
      <c r="C427" s="1" t="s">
        <v>6</v>
      </c>
      <c r="D427" s="1" t="s">
        <v>24</v>
      </c>
      <c r="E427" s="1" t="s">
        <v>715</v>
      </c>
    </row>
    <row r="428" spans="1:5" x14ac:dyDescent="0.4">
      <c r="A428" s="1" t="s">
        <v>888</v>
      </c>
      <c r="B428" s="1" t="s">
        <v>889</v>
      </c>
      <c r="C428" s="1" t="s">
        <v>6</v>
      </c>
      <c r="D428" s="1" t="s">
        <v>24</v>
      </c>
      <c r="E428" s="1" t="s">
        <v>130</v>
      </c>
    </row>
    <row r="429" spans="1:5" x14ac:dyDescent="0.4">
      <c r="A429" s="1" t="s">
        <v>890</v>
      </c>
      <c r="B429" s="1" t="s">
        <v>891</v>
      </c>
      <c r="C429" s="1" t="s">
        <v>6</v>
      </c>
      <c r="D429" s="1" t="s">
        <v>13</v>
      </c>
      <c r="E429" s="1" t="s">
        <v>135</v>
      </c>
    </row>
    <row r="430" spans="1:5" x14ac:dyDescent="0.4">
      <c r="A430" s="1" t="s">
        <v>892</v>
      </c>
      <c r="B430" s="1" t="s">
        <v>893</v>
      </c>
      <c r="C430" s="1" t="s">
        <v>6</v>
      </c>
      <c r="D430" s="1" t="s">
        <v>13</v>
      </c>
      <c r="E430" s="1" t="s">
        <v>624</v>
      </c>
    </row>
    <row r="431" spans="1:5" x14ac:dyDescent="0.4">
      <c r="A431" s="1" t="s">
        <v>894</v>
      </c>
      <c r="B431" s="1" t="s">
        <v>895</v>
      </c>
      <c r="C431" s="1" t="s">
        <v>6</v>
      </c>
      <c r="D431" s="1" t="s">
        <v>7</v>
      </c>
      <c r="E431" s="1" t="s">
        <v>125</v>
      </c>
    </row>
    <row r="432" spans="1:5" x14ac:dyDescent="0.4">
      <c r="A432" s="1" t="s">
        <v>896</v>
      </c>
      <c r="B432" s="1" t="s">
        <v>897</v>
      </c>
      <c r="C432" s="1" t="s">
        <v>6</v>
      </c>
      <c r="D432" s="1" t="s">
        <v>24</v>
      </c>
      <c r="E432" s="1" t="s">
        <v>148</v>
      </c>
    </row>
    <row r="433" spans="1:5" x14ac:dyDescent="0.4">
      <c r="A433" s="1" t="s">
        <v>898</v>
      </c>
      <c r="B433" s="1" t="s">
        <v>899</v>
      </c>
      <c r="C433" s="1" t="s">
        <v>6</v>
      </c>
      <c r="D433" s="1" t="s">
        <v>10</v>
      </c>
      <c r="E433" s="1" t="s">
        <v>130</v>
      </c>
    </row>
    <row r="434" spans="1:5" x14ac:dyDescent="0.4">
      <c r="A434" s="1" t="s">
        <v>900</v>
      </c>
      <c r="B434" s="1" t="s">
        <v>901</v>
      </c>
      <c r="C434" s="1" t="s">
        <v>6</v>
      </c>
      <c r="D434" s="1" t="s">
        <v>13</v>
      </c>
      <c r="E434" s="1" t="s">
        <v>143</v>
      </c>
    </row>
    <row r="435" spans="1:5" x14ac:dyDescent="0.4">
      <c r="A435" s="1" t="s">
        <v>902</v>
      </c>
      <c r="B435" s="1" t="s">
        <v>903</v>
      </c>
      <c r="C435" s="1" t="s">
        <v>6</v>
      </c>
      <c r="D435" s="1" t="s">
        <v>13</v>
      </c>
      <c r="E435" s="1" t="s">
        <v>730</v>
      </c>
    </row>
    <row r="436" spans="1:5" x14ac:dyDescent="0.4">
      <c r="A436" s="1" t="s">
        <v>904</v>
      </c>
      <c r="B436" s="1" t="s">
        <v>905</v>
      </c>
      <c r="C436" s="1" t="s">
        <v>6</v>
      </c>
      <c r="D436" s="1" t="s">
        <v>10</v>
      </c>
      <c r="E436" s="1" t="s">
        <v>627</v>
      </c>
    </row>
    <row r="437" spans="1:5" x14ac:dyDescent="0.4">
      <c r="A437" s="1" t="s">
        <v>906</v>
      </c>
      <c r="B437" s="1" t="s">
        <v>907</v>
      </c>
      <c r="C437" s="1" t="s">
        <v>6</v>
      </c>
      <c r="D437" s="1" t="s">
        <v>24</v>
      </c>
      <c r="E437" s="1" t="s">
        <v>156</v>
      </c>
    </row>
    <row r="438" spans="1:5" x14ac:dyDescent="0.4">
      <c r="A438" s="1" t="s">
        <v>908</v>
      </c>
      <c r="B438" s="1" t="s">
        <v>909</v>
      </c>
      <c r="C438" s="1" t="s">
        <v>6</v>
      </c>
      <c r="D438" s="1" t="s">
        <v>13</v>
      </c>
      <c r="E438" s="1" t="s">
        <v>135</v>
      </c>
    </row>
    <row r="439" spans="1:5" x14ac:dyDescent="0.4">
      <c r="A439" s="1" t="s">
        <v>910</v>
      </c>
      <c r="B439" s="1" t="s">
        <v>911</v>
      </c>
      <c r="C439" s="1" t="s">
        <v>6</v>
      </c>
      <c r="D439" s="1" t="s">
        <v>24</v>
      </c>
      <c r="E439" s="1" t="s">
        <v>138</v>
      </c>
    </row>
    <row r="440" spans="1:5" x14ac:dyDescent="0.4">
      <c r="A440" s="1" t="s">
        <v>912</v>
      </c>
      <c r="B440" s="1" t="s">
        <v>913</v>
      </c>
      <c r="C440" s="1" t="s">
        <v>6</v>
      </c>
      <c r="D440" s="1" t="s">
        <v>10</v>
      </c>
      <c r="E440" s="1" t="s">
        <v>325</v>
      </c>
    </row>
    <row r="441" spans="1:5" x14ac:dyDescent="0.4">
      <c r="A441" s="1" t="s">
        <v>914</v>
      </c>
      <c r="B441" s="1" t="s">
        <v>915</v>
      </c>
      <c r="C441" s="1" t="s">
        <v>6</v>
      </c>
      <c r="D441" s="1" t="s">
        <v>16</v>
      </c>
      <c r="E441" s="1" t="s">
        <v>730</v>
      </c>
    </row>
    <row r="442" spans="1:5" x14ac:dyDescent="0.4">
      <c r="A442" s="1" t="s">
        <v>916</v>
      </c>
      <c r="B442" s="1" t="s">
        <v>917</v>
      </c>
      <c r="C442" s="1" t="s">
        <v>6</v>
      </c>
      <c r="D442" s="1" t="s">
        <v>36</v>
      </c>
      <c r="E442" s="1" t="s">
        <v>18</v>
      </c>
    </row>
    <row r="443" spans="1:5" x14ac:dyDescent="0.4">
      <c r="A443" s="1" t="s">
        <v>918</v>
      </c>
      <c r="B443" s="1" t="s">
        <v>919</v>
      </c>
      <c r="C443" s="1" t="s">
        <v>6</v>
      </c>
      <c r="D443" s="1" t="s">
        <v>13</v>
      </c>
      <c r="E443" s="1" t="s">
        <v>646</v>
      </c>
    </row>
    <row r="444" spans="1:5" x14ac:dyDescent="0.4">
      <c r="A444" s="1" t="s">
        <v>920</v>
      </c>
      <c r="B444" s="1" t="s">
        <v>921</v>
      </c>
      <c r="C444" s="1" t="s">
        <v>6</v>
      </c>
      <c r="D444" s="1" t="s">
        <v>24</v>
      </c>
      <c r="E444" s="1" t="s">
        <v>143</v>
      </c>
    </row>
    <row r="445" spans="1:5" x14ac:dyDescent="0.4">
      <c r="A445" s="1" t="s">
        <v>922</v>
      </c>
      <c r="B445" s="1" t="s">
        <v>923</v>
      </c>
      <c r="C445" s="1" t="s">
        <v>6</v>
      </c>
      <c r="D445" s="1" t="s">
        <v>21</v>
      </c>
      <c r="E445" s="1" t="s">
        <v>330</v>
      </c>
    </row>
    <row r="446" spans="1:5" x14ac:dyDescent="0.4">
      <c r="A446" s="1" t="s">
        <v>924</v>
      </c>
      <c r="B446" s="1" t="s">
        <v>925</v>
      </c>
      <c r="C446" s="1" t="s">
        <v>6</v>
      </c>
      <c r="D446" s="1" t="s">
        <v>36</v>
      </c>
      <c r="E446" s="1" t="s">
        <v>125</v>
      </c>
    </row>
    <row r="447" spans="1:5" x14ac:dyDescent="0.4">
      <c r="A447" s="1" t="s">
        <v>926</v>
      </c>
      <c r="B447" s="1" t="s">
        <v>927</v>
      </c>
      <c r="C447" s="1" t="s">
        <v>6</v>
      </c>
      <c r="D447" s="1" t="s">
        <v>24</v>
      </c>
      <c r="E447" s="1" t="s">
        <v>615</v>
      </c>
    </row>
    <row r="448" spans="1:5" x14ac:dyDescent="0.4">
      <c r="A448" s="1" t="s">
        <v>928</v>
      </c>
      <c r="B448" s="1" t="s">
        <v>929</v>
      </c>
      <c r="C448" s="1" t="s">
        <v>6</v>
      </c>
      <c r="D448" s="1" t="s">
        <v>10</v>
      </c>
      <c r="E448" s="1" t="s">
        <v>185</v>
      </c>
    </row>
    <row r="449" spans="1:5" x14ac:dyDescent="0.4">
      <c r="A449" s="1" t="s">
        <v>930</v>
      </c>
      <c r="B449" s="1" t="s">
        <v>931</v>
      </c>
      <c r="C449" s="1" t="s">
        <v>6</v>
      </c>
      <c r="D449" s="1" t="s">
        <v>10</v>
      </c>
      <c r="E449" s="1" t="s">
        <v>185</v>
      </c>
    </row>
    <row r="450" spans="1:5" x14ac:dyDescent="0.4">
      <c r="A450" s="1" t="s">
        <v>932</v>
      </c>
      <c r="B450" s="1" t="s">
        <v>933</v>
      </c>
      <c r="C450" s="1" t="s">
        <v>6</v>
      </c>
      <c r="D450" s="1" t="s">
        <v>10</v>
      </c>
      <c r="E450" s="1" t="s">
        <v>166</v>
      </c>
    </row>
    <row r="451" spans="1:5" x14ac:dyDescent="0.4">
      <c r="A451" s="1" t="s">
        <v>934</v>
      </c>
      <c r="B451" s="1" t="s">
        <v>935</v>
      </c>
      <c r="C451" s="1" t="s">
        <v>6</v>
      </c>
      <c r="D451" s="1" t="s">
        <v>16</v>
      </c>
      <c r="E451" s="1" t="s">
        <v>161</v>
      </c>
    </row>
    <row r="452" spans="1:5" x14ac:dyDescent="0.4">
      <c r="A452" s="1" t="s">
        <v>936</v>
      </c>
      <c r="B452" s="1" t="s">
        <v>937</v>
      </c>
      <c r="C452" s="1" t="s">
        <v>6</v>
      </c>
      <c r="D452" s="1" t="s">
        <v>13</v>
      </c>
      <c r="E452" s="1" t="s">
        <v>135</v>
      </c>
    </row>
    <row r="453" spans="1:5" x14ac:dyDescent="0.4">
      <c r="A453" s="1" t="s">
        <v>938</v>
      </c>
      <c r="B453" s="1" t="s">
        <v>939</v>
      </c>
      <c r="C453" s="1" t="s">
        <v>6</v>
      </c>
      <c r="D453" s="1" t="s">
        <v>13</v>
      </c>
      <c r="E453" s="1" t="s">
        <v>349</v>
      </c>
    </row>
    <row r="454" spans="1:5" x14ac:dyDescent="0.4">
      <c r="A454" s="1" t="s">
        <v>940</v>
      </c>
      <c r="B454" s="1" t="s">
        <v>941</v>
      </c>
      <c r="C454" s="1" t="s">
        <v>6</v>
      </c>
      <c r="D454" s="1" t="s">
        <v>36</v>
      </c>
      <c r="E454" s="1" t="s">
        <v>130</v>
      </c>
    </row>
    <row r="455" spans="1:5" x14ac:dyDescent="0.4">
      <c r="A455" s="1" t="s">
        <v>942</v>
      </c>
      <c r="B455" s="1" t="s">
        <v>943</v>
      </c>
      <c r="C455" s="1" t="s">
        <v>6</v>
      </c>
      <c r="D455" s="1" t="s">
        <v>24</v>
      </c>
      <c r="E455" s="1" t="s">
        <v>156</v>
      </c>
    </row>
    <row r="456" spans="1:5" x14ac:dyDescent="0.4">
      <c r="A456" s="1" t="s">
        <v>944</v>
      </c>
      <c r="B456" s="1" t="s">
        <v>945</v>
      </c>
      <c r="C456" s="1" t="s">
        <v>6</v>
      </c>
      <c r="D456" s="1" t="s">
        <v>13</v>
      </c>
      <c r="E456" s="1" t="s">
        <v>566</v>
      </c>
    </row>
    <row r="457" spans="1:5" x14ac:dyDescent="0.4">
      <c r="A457" s="1" t="s">
        <v>946</v>
      </c>
      <c r="B457" s="1" t="s">
        <v>947</v>
      </c>
      <c r="C457" s="1" t="s">
        <v>6</v>
      </c>
      <c r="D457" s="1" t="s">
        <v>13</v>
      </c>
      <c r="E457" s="1" t="s">
        <v>151</v>
      </c>
    </row>
    <row r="458" spans="1:5" x14ac:dyDescent="0.4">
      <c r="A458" s="1" t="s">
        <v>948</v>
      </c>
      <c r="B458" s="1" t="s">
        <v>949</v>
      </c>
      <c r="C458" s="1" t="s">
        <v>6</v>
      </c>
      <c r="D458" s="1" t="s">
        <v>10</v>
      </c>
      <c r="E458" s="1" t="s">
        <v>138</v>
      </c>
    </row>
    <row r="459" spans="1:5" x14ac:dyDescent="0.4">
      <c r="A459" s="1" t="s">
        <v>950</v>
      </c>
      <c r="B459" s="1" t="s">
        <v>951</v>
      </c>
      <c r="C459" s="1" t="s">
        <v>6</v>
      </c>
      <c r="D459" s="1" t="s">
        <v>10</v>
      </c>
      <c r="E459" s="1" t="s">
        <v>730</v>
      </c>
    </row>
    <row r="460" spans="1:5" x14ac:dyDescent="0.4">
      <c r="A460" s="1" t="s">
        <v>952</v>
      </c>
      <c r="B460" s="1" t="s">
        <v>953</v>
      </c>
      <c r="C460" s="1" t="s">
        <v>6</v>
      </c>
      <c r="D460" s="1" t="s">
        <v>13</v>
      </c>
      <c r="E460" s="1" t="s">
        <v>135</v>
      </c>
    </row>
    <row r="461" spans="1:5" x14ac:dyDescent="0.4">
      <c r="A461" s="1" t="s">
        <v>954</v>
      </c>
      <c r="B461" s="1" t="s">
        <v>955</v>
      </c>
      <c r="C461" s="1" t="s">
        <v>6</v>
      </c>
      <c r="D461" s="1" t="s">
        <v>13</v>
      </c>
      <c r="E461" s="1" t="s">
        <v>18</v>
      </c>
    </row>
    <row r="462" spans="1:5" x14ac:dyDescent="0.4">
      <c r="A462" s="1" t="s">
        <v>956</v>
      </c>
      <c r="B462" s="1" t="s">
        <v>957</v>
      </c>
      <c r="C462" s="1" t="s">
        <v>6</v>
      </c>
      <c r="D462" s="1" t="s">
        <v>13</v>
      </c>
      <c r="E462" s="1" t="s">
        <v>185</v>
      </c>
    </row>
    <row r="463" spans="1:5" x14ac:dyDescent="0.4">
      <c r="A463" s="1" t="s">
        <v>958</v>
      </c>
      <c r="B463" s="1" t="s">
        <v>959</v>
      </c>
      <c r="C463" s="1" t="s">
        <v>6</v>
      </c>
      <c r="D463" s="1" t="s">
        <v>21</v>
      </c>
      <c r="E463" s="1" t="s">
        <v>646</v>
      </c>
    </row>
    <row r="464" spans="1:5" x14ac:dyDescent="0.4">
      <c r="A464" s="1" t="s">
        <v>960</v>
      </c>
      <c r="B464" s="1" t="s">
        <v>961</v>
      </c>
      <c r="C464" s="1" t="s">
        <v>6</v>
      </c>
      <c r="D464" s="1" t="s">
        <v>24</v>
      </c>
      <c r="E464" s="1" t="s">
        <v>130</v>
      </c>
    </row>
    <row r="465" spans="1:5" x14ac:dyDescent="0.4">
      <c r="A465" s="1" t="s">
        <v>962</v>
      </c>
      <c r="B465" s="1" t="s">
        <v>963</v>
      </c>
      <c r="C465" s="1" t="s">
        <v>6</v>
      </c>
      <c r="D465" s="1" t="s">
        <v>10</v>
      </c>
      <c r="E465" s="1" t="s">
        <v>566</v>
      </c>
    </row>
    <row r="466" spans="1:5" x14ac:dyDescent="0.4">
      <c r="A466" s="1" t="s">
        <v>964</v>
      </c>
      <c r="B466" s="1" t="s">
        <v>965</v>
      </c>
      <c r="C466" s="1" t="s">
        <v>6</v>
      </c>
      <c r="D466" s="1" t="s">
        <v>24</v>
      </c>
      <c r="E466" s="1" t="s">
        <v>615</v>
      </c>
    </row>
    <row r="467" spans="1:5" x14ac:dyDescent="0.4">
      <c r="A467" s="1" t="s">
        <v>966</v>
      </c>
      <c r="B467" s="1" t="s">
        <v>967</v>
      </c>
      <c r="C467" s="1" t="s">
        <v>6</v>
      </c>
      <c r="D467" s="1" t="s">
        <v>13</v>
      </c>
      <c r="E467" s="1" t="s">
        <v>156</v>
      </c>
    </row>
    <row r="468" spans="1:5" x14ac:dyDescent="0.4">
      <c r="A468" s="1" t="s">
        <v>968</v>
      </c>
      <c r="B468" s="1" t="s">
        <v>969</v>
      </c>
      <c r="C468" s="1" t="s">
        <v>6</v>
      </c>
      <c r="D468" s="1" t="s">
        <v>13</v>
      </c>
      <c r="E468" s="1" t="s">
        <v>135</v>
      </c>
    </row>
    <row r="469" spans="1:5" x14ac:dyDescent="0.4">
      <c r="A469" s="1" t="s">
        <v>970</v>
      </c>
      <c r="B469" s="1" t="s">
        <v>971</v>
      </c>
      <c r="C469" s="1" t="s">
        <v>6</v>
      </c>
      <c r="D469" s="1" t="s">
        <v>10</v>
      </c>
      <c r="E469" s="1" t="s">
        <v>143</v>
      </c>
    </row>
    <row r="470" spans="1:5" x14ac:dyDescent="0.4">
      <c r="A470" s="1" t="s">
        <v>972</v>
      </c>
      <c r="B470" s="1" t="s">
        <v>973</v>
      </c>
      <c r="C470" s="1" t="s">
        <v>6</v>
      </c>
      <c r="D470" s="1" t="s">
        <v>13</v>
      </c>
      <c r="E470" s="1" t="s">
        <v>185</v>
      </c>
    </row>
    <row r="471" spans="1:5" x14ac:dyDescent="0.4">
      <c r="A471" s="1" t="s">
        <v>974</v>
      </c>
      <c r="B471" s="1" t="s">
        <v>975</v>
      </c>
      <c r="C471" s="1" t="s">
        <v>6</v>
      </c>
      <c r="D471" s="1" t="s">
        <v>36</v>
      </c>
      <c r="E471" s="1" t="s">
        <v>138</v>
      </c>
    </row>
    <row r="472" spans="1:5" x14ac:dyDescent="0.4">
      <c r="A472" s="1" t="s">
        <v>976</v>
      </c>
      <c r="B472" s="1" t="s">
        <v>977</v>
      </c>
      <c r="C472" s="1" t="s">
        <v>6</v>
      </c>
      <c r="D472" s="1" t="s">
        <v>13</v>
      </c>
      <c r="E472" s="1" t="s">
        <v>18</v>
      </c>
    </row>
    <row r="473" spans="1:5" x14ac:dyDescent="0.4">
      <c r="A473" s="1" t="s">
        <v>978</v>
      </c>
      <c r="B473" s="1" t="s">
        <v>979</v>
      </c>
      <c r="C473" s="1" t="s">
        <v>6</v>
      </c>
      <c r="D473" s="1" t="s">
        <v>10</v>
      </c>
      <c r="E473" s="1" t="s">
        <v>156</v>
      </c>
    </row>
    <row r="474" spans="1:5" x14ac:dyDescent="0.4">
      <c r="A474" s="1" t="s">
        <v>980</v>
      </c>
      <c r="B474" s="1" t="s">
        <v>981</v>
      </c>
      <c r="C474" s="1" t="s">
        <v>6</v>
      </c>
      <c r="D474" s="1" t="s">
        <v>13</v>
      </c>
      <c r="E474" s="1" t="s">
        <v>566</v>
      </c>
    </row>
    <row r="475" spans="1:5" x14ac:dyDescent="0.4">
      <c r="A475" s="1" t="s">
        <v>982</v>
      </c>
      <c r="B475" s="1" t="s">
        <v>983</v>
      </c>
      <c r="C475" s="1" t="s">
        <v>6</v>
      </c>
      <c r="D475" s="1" t="s">
        <v>24</v>
      </c>
      <c r="E475" s="1" t="s">
        <v>624</v>
      </c>
    </row>
    <row r="476" spans="1:5" x14ac:dyDescent="0.4">
      <c r="A476" s="1" t="s">
        <v>984</v>
      </c>
      <c r="B476" s="1" t="s">
        <v>985</v>
      </c>
      <c r="C476" s="1" t="s">
        <v>6</v>
      </c>
      <c r="D476" s="1" t="s">
        <v>13</v>
      </c>
      <c r="E476" s="1" t="s">
        <v>646</v>
      </c>
    </row>
    <row r="477" spans="1:5" x14ac:dyDescent="0.4">
      <c r="A477" s="1" t="s">
        <v>986</v>
      </c>
      <c r="B477" s="1" t="s">
        <v>987</v>
      </c>
      <c r="C477" s="1" t="s">
        <v>6</v>
      </c>
      <c r="D477" s="1" t="s">
        <v>13</v>
      </c>
      <c r="E477" s="1" t="s">
        <v>135</v>
      </c>
    </row>
    <row r="478" spans="1:5" x14ac:dyDescent="0.4">
      <c r="A478" s="1" t="s">
        <v>988</v>
      </c>
      <c r="B478" s="1" t="s">
        <v>989</v>
      </c>
      <c r="C478" s="1" t="s">
        <v>6</v>
      </c>
      <c r="D478" s="1" t="s">
        <v>21</v>
      </c>
      <c r="E478" s="1" t="s">
        <v>627</v>
      </c>
    </row>
    <row r="479" spans="1:5" x14ac:dyDescent="0.4">
      <c r="A479" s="1" t="s">
        <v>990</v>
      </c>
      <c r="B479" s="1" t="s">
        <v>991</v>
      </c>
      <c r="C479" s="1" t="s">
        <v>6</v>
      </c>
      <c r="D479" s="1" t="s">
        <v>13</v>
      </c>
      <c r="E479" s="1" t="s">
        <v>566</v>
      </c>
    </row>
    <row r="480" spans="1:5" x14ac:dyDescent="0.4">
      <c r="A480" s="1" t="s">
        <v>992</v>
      </c>
      <c r="B480" s="1" t="s">
        <v>993</v>
      </c>
      <c r="C480" s="1" t="s">
        <v>6</v>
      </c>
      <c r="D480" s="1" t="s">
        <v>24</v>
      </c>
      <c r="E480" s="1" t="s">
        <v>566</v>
      </c>
    </row>
    <row r="481" spans="1:5" x14ac:dyDescent="0.4">
      <c r="A481" s="1" t="s">
        <v>994</v>
      </c>
      <c r="B481" s="1" t="s">
        <v>995</v>
      </c>
      <c r="C481" s="1" t="s">
        <v>6</v>
      </c>
      <c r="D481" s="1" t="s">
        <v>13</v>
      </c>
      <c r="E481" s="1" t="s">
        <v>730</v>
      </c>
    </row>
    <row r="482" spans="1:5" x14ac:dyDescent="0.4">
      <c r="A482" s="1" t="s">
        <v>996</v>
      </c>
      <c r="B482" s="1" t="s">
        <v>997</v>
      </c>
      <c r="C482" s="1" t="s">
        <v>6</v>
      </c>
      <c r="D482" s="1" t="s">
        <v>21</v>
      </c>
      <c r="E482" s="1" t="s">
        <v>161</v>
      </c>
    </row>
    <row r="483" spans="1:5" x14ac:dyDescent="0.4">
      <c r="A483" s="1" t="s">
        <v>998</v>
      </c>
      <c r="B483" s="1" t="s">
        <v>999</v>
      </c>
      <c r="C483" s="1" t="s">
        <v>6</v>
      </c>
      <c r="D483" s="1" t="s">
        <v>10</v>
      </c>
      <c r="E483" s="1" t="s">
        <v>151</v>
      </c>
    </row>
    <row r="484" spans="1:5" x14ac:dyDescent="0.4">
      <c r="A484" s="1" t="s">
        <v>1000</v>
      </c>
      <c r="B484" s="1" t="s">
        <v>1001</v>
      </c>
      <c r="C484" s="1" t="s">
        <v>6</v>
      </c>
      <c r="D484" s="1" t="s">
        <v>13</v>
      </c>
      <c r="E484" s="1" t="s">
        <v>135</v>
      </c>
    </row>
    <row r="485" spans="1:5" x14ac:dyDescent="0.4">
      <c r="A485" s="1" t="s">
        <v>1002</v>
      </c>
      <c r="B485" s="1" t="s">
        <v>1003</v>
      </c>
      <c r="C485" s="1" t="s">
        <v>6</v>
      </c>
      <c r="D485" s="1" t="s">
        <v>21</v>
      </c>
      <c r="E485" s="1" t="s">
        <v>161</v>
      </c>
    </row>
    <row r="486" spans="1:5" x14ac:dyDescent="0.4">
      <c r="A486" s="1" t="s">
        <v>1004</v>
      </c>
      <c r="B486" s="1" t="s">
        <v>1005</v>
      </c>
      <c r="C486" s="1" t="s">
        <v>6</v>
      </c>
      <c r="D486" s="1" t="s">
        <v>13</v>
      </c>
      <c r="E486" s="1" t="s">
        <v>185</v>
      </c>
    </row>
    <row r="487" spans="1:5" x14ac:dyDescent="0.4">
      <c r="A487" s="1" t="s">
        <v>1006</v>
      </c>
      <c r="B487" s="1" t="s">
        <v>1007</v>
      </c>
      <c r="C487" s="1" t="s">
        <v>6</v>
      </c>
      <c r="D487" s="1" t="s">
        <v>13</v>
      </c>
      <c r="E487" s="1" t="s">
        <v>325</v>
      </c>
    </row>
    <row r="488" spans="1:5" x14ac:dyDescent="0.4">
      <c r="A488" s="1" t="s">
        <v>1008</v>
      </c>
      <c r="B488" s="1" t="s">
        <v>1009</v>
      </c>
      <c r="C488" s="1" t="s">
        <v>6</v>
      </c>
      <c r="D488" s="1" t="s">
        <v>13</v>
      </c>
      <c r="E488" s="1" t="s">
        <v>325</v>
      </c>
    </row>
    <row r="489" spans="1:5" x14ac:dyDescent="0.4">
      <c r="A489" s="1" t="s">
        <v>1010</v>
      </c>
      <c r="B489" s="1" t="s">
        <v>1011</v>
      </c>
      <c r="C489" s="1" t="s">
        <v>6</v>
      </c>
      <c r="D489" s="1" t="s">
        <v>24</v>
      </c>
      <c r="E489" s="1" t="s">
        <v>624</v>
      </c>
    </row>
    <row r="490" spans="1:5" x14ac:dyDescent="0.4">
      <c r="A490" s="1" t="s">
        <v>1012</v>
      </c>
      <c r="B490" s="1" t="s">
        <v>1013</v>
      </c>
      <c r="C490" s="1" t="s">
        <v>6</v>
      </c>
      <c r="D490" s="1" t="s">
        <v>13</v>
      </c>
      <c r="E490" s="1" t="s">
        <v>135</v>
      </c>
    </row>
    <row r="491" spans="1:5" x14ac:dyDescent="0.4">
      <c r="A491" s="1" t="s">
        <v>1014</v>
      </c>
      <c r="B491" s="1" t="s">
        <v>1015</v>
      </c>
      <c r="C491" s="1" t="s">
        <v>6</v>
      </c>
      <c r="D491" s="1" t="s">
        <v>10</v>
      </c>
      <c r="E491" s="1" t="s">
        <v>349</v>
      </c>
    </row>
    <row r="492" spans="1:5" x14ac:dyDescent="0.4">
      <c r="A492" s="1" t="s">
        <v>1016</v>
      </c>
      <c r="B492" s="1" t="s">
        <v>1017</v>
      </c>
      <c r="C492" s="1" t="s">
        <v>6</v>
      </c>
      <c r="D492" s="1" t="s">
        <v>10</v>
      </c>
      <c r="E492" s="1" t="s">
        <v>325</v>
      </c>
    </row>
    <row r="493" spans="1:5" x14ac:dyDescent="0.4">
      <c r="A493" s="1" t="s">
        <v>1018</v>
      </c>
      <c r="B493" s="1" t="s">
        <v>1019</v>
      </c>
      <c r="C493" s="1" t="s">
        <v>6</v>
      </c>
      <c r="D493" s="1" t="s">
        <v>24</v>
      </c>
      <c r="E493" s="1" t="s">
        <v>349</v>
      </c>
    </row>
    <row r="494" spans="1:5" x14ac:dyDescent="0.4">
      <c r="A494" s="1" t="s">
        <v>1020</v>
      </c>
      <c r="B494" s="1" t="s">
        <v>1021</v>
      </c>
      <c r="C494" s="1" t="s">
        <v>6</v>
      </c>
      <c r="D494" s="1" t="s">
        <v>13</v>
      </c>
      <c r="E494" s="1" t="s">
        <v>125</v>
      </c>
    </row>
    <row r="495" spans="1:5" x14ac:dyDescent="0.4">
      <c r="A495" s="1" t="s">
        <v>1022</v>
      </c>
      <c r="B495" s="1" t="s">
        <v>1023</v>
      </c>
      <c r="C495" s="1" t="s">
        <v>6</v>
      </c>
      <c r="D495" s="1" t="s">
        <v>10</v>
      </c>
      <c r="E495" s="1" t="s">
        <v>130</v>
      </c>
    </row>
    <row r="496" spans="1:5" x14ac:dyDescent="0.4">
      <c r="A496" s="1" t="s">
        <v>1024</v>
      </c>
      <c r="B496" s="1" t="s">
        <v>1025</v>
      </c>
      <c r="C496" s="1" t="s">
        <v>6</v>
      </c>
      <c r="D496" s="1" t="s">
        <v>13</v>
      </c>
      <c r="E496" s="1" t="s">
        <v>615</v>
      </c>
    </row>
    <row r="497" spans="1:5" x14ac:dyDescent="0.4">
      <c r="A497" s="1" t="s">
        <v>1026</v>
      </c>
      <c r="B497" s="1" t="s">
        <v>1027</v>
      </c>
      <c r="C497" s="1" t="s">
        <v>6</v>
      </c>
      <c r="D497" s="1" t="s">
        <v>13</v>
      </c>
      <c r="E497" s="1" t="s">
        <v>138</v>
      </c>
    </row>
    <row r="498" spans="1:5" x14ac:dyDescent="0.4">
      <c r="A498" s="1" t="s">
        <v>1028</v>
      </c>
      <c r="B498" s="1" t="s">
        <v>1029</v>
      </c>
      <c r="C498" s="1" t="s">
        <v>6</v>
      </c>
      <c r="D498" s="1" t="s">
        <v>13</v>
      </c>
      <c r="E498" s="1" t="s">
        <v>566</v>
      </c>
    </row>
    <row r="499" spans="1:5" x14ac:dyDescent="0.4">
      <c r="A499" s="1" t="s">
        <v>1030</v>
      </c>
      <c r="B499" s="1" t="s">
        <v>1031</v>
      </c>
      <c r="C499" s="1" t="s">
        <v>6</v>
      </c>
      <c r="D499" s="1" t="s">
        <v>10</v>
      </c>
      <c r="E499" s="1" t="s">
        <v>166</v>
      </c>
    </row>
    <row r="500" spans="1:5" x14ac:dyDescent="0.4">
      <c r="A500" s="1" t="s">
        <v>1032</v>
      </c>
      <c r="B500" s="1" t="s">
        <v>1033</v>
      </c>
      <c r="C500" s="1" t="s">
        <v>6</v>
      </c>
      <c r="D500" s="1" t="s">
        <v>13</v>
      </c>
      <c r="E500" s="1" t="s">
        <v>151</v>
      </c>
    </row>
    <row r="501" spans="1:5" x14ac:dyDescent="0.4">
      <c r="A501" s="1" t="s">
        <v>1034</v>
      </c>
      <c r="B501" s="1" t="s">
        <v>1035</v>
      </c>
      <c r="C501" s="1" t="s">
        <v>6</v>
      </c>
      <c r="D501" s="1" t="s">
        <v>10</v>
      </c>
      <c r="E501" s="1" t="s">
        <v>615</v>
      </c>
    </row>
    <row r="502" spans="1:5" x14ac:dyDescent="0.4">
      <c r="A502" s="1" t="s">
        <v>1036</v>
      </c>
      <c r="B502" s="1" t="s">
        <v>1037</v>
      </c>
      <c r="C502" s="1" t="s">
        <v>6</v>
      </c>
      <c r="D502" s="1" t="s">
        <v>24</v>
      </c>
      <c r="E502" s="1" t="s">
        <v>135</v>
      </c>
    </row>
    <row r="503" spans="1:5" x14ac:dyDescent="0.4">
      <c r="A503" s="1" t="s">
        <v>1038</v>
      </c>
      <c r="B503" s="1" t="s">
        <v>1039</v>
      </c>
      <c r="C503" s="1" t="s">
        <v>6</v>
      </c>
      <c r="D503" s="1" t="s">
        <v>36</v>
      </c>
      <c r="E503" s="1" t="s">
        <v>156</v>
      </c>
    </row>
    <row r="504" spans="1:5" x14ac:dyDescent="0.4">
      <c r="A504" s="1" t="s">
        <v>1040</v>
      </c>
      <c r="B504" s="1" t="s">
        <v>1041</v>
      </c>
      <c r="C504" s="1" t="s">
        <v>6</v>
      </c>
      <c r="D504" s="1" t="s">
        <v>16</v>
      </c>
      <c r="E504" s="1" t="s">
        <v>715</v>
      </c>
    </row>
    <row r="505" spans="1:5" x14ac:dyDescent="0.4">
      <c r="A505" s="1" t="s">
        <v>1042</v>
      </c>
      <c r="B505" s="1" t="s">
        <v>1043</v>
      </c>
      <c r="C505" s="1" t="s">
        <v>6</v>
      </c>
      <c r="D505" s="1" t="s">
        <v>21</v>
      </c>
      <c r="E505" s="1" t="s">
        <v>730</v>
      </c>
    </row>
    <row r="506" spans="1:5" x14ac:dyDescent="0.4">
      <c r="A506" s="1" t="s">
        <v>1044</v>
      </c>
      <c r="B506" s="1" t="s">
        <v>1045</v>
      </c>
      <c r="C506" s="1" t="s">
        <v>6</v>
      </c>
      <c r="D506" s="1" t="s">
        <v>10</v>
      </c>
      <c r="E506" s="1" t="s">
        <v>161</v>
      </c>
    </row>
    <row r="507" spans="1:5" x14ac:dyDescent="0.4">
      <c r="A507" s="1" t="s">
        <v>1046</v>
      </c>
      <c r="B507" s="1" t="s">
        <v>1047</v>
      </c>
      <c r="C507" s="1" t="s">
        <v>6</v>
      </c>
      <c r="D507" s="1" t="s">
        <v>10</v>
      </c>
      <c r="E507" s="1" t="s">
        <v>349</v>
      </c>
    </row>
    <row r="508" spans="1:5" x14ac:dyDescent="0.4">
      <c r="A508" s="1" t="s">
        <v>1048</v>
      </c>
      <c r="B508" s="1" t="s">
        <v>1049</v>
      </c>
      <c r="C508" s="1" t="s">
        <v>6</v>
      </c>
      <c r="D508" s="1" t="s">
        <v>13</v>
      </c>
      <c r="E508" s="1" t="s">
        <v>135</v>
      </c>
    </row>
    <row r="509" spans="1:5" x14ac:dyDescent="0.4">
      <c r="A509" s="1" t="s">
        <v>1050</v>
      </c>
      <c r="B509" s="1" t="s">
        <v>1051</v>
      </c>
      <c r="C509" s="1" t="s">
        <v>6</v>
      </c>
      <c r="D509" s="1" t="s">
        <v>21</v>
      </c>
      <c r="E509" s="1" t="s">
        <v>624</v>
      </c>
    </row>
    <row r="510" spans="1:5" x14ac:dyDescent="0.4">
      <c r="A510" s="1" t="s">
        <v>1052</v>
      </c>
      <c r="B510" s="1" t="s">
        <v>1053</v>
      </c>
      <c r="C510" s="1" t="s">
        <v>6</v>
      </c>
      <c r="D510" s="1" t="s">
        <v>13</v>
      </c>
      <c r="E510" s="1" t="s">
        <v>143</v>
      </c>
    </row>
    <row r="511" spans="1:5" x14ac:dyDescent="0.4">
      <c r="A511" s="1" t="s">
        <v>1054</v>
      </c>
      <c r="B511" s="1" t="s">
        <v>1055</v>
      </c>
      <c r="C511" s="1" t="s">
        <v>6</v>
      </c>
      <c r="D511" s="1" t="s">
        <v>13</v>
      </c>
      <c r="E511" s="1" t="s">
        <v>185</v>
      </c>
    </row>
    <row r="512" spans="1:5" x14ac:dyDescent="0.4">
      <c r="A512" s="1" t="s">
        <v>1056</v>
      </c>
      <c r="B512" s="1" t="s">
        <v>1057</v>
      </c>
      <c r="C512" s="1" t="s">
        <v>6</v>
      </c>
      <c r="D512" s="1" t="s">
        <v>13</v>
      </c>
      <c r="E512" s="1" t="s">
        <v>615</v>
      </c>
    </row>
    <row r="513" spans="1:5" x14ac:dyDescent="0.4">
      <c r="A513" s="1" t="s">
        <v>1058</v>
      </c>
      <c r="B513" s="1" t="s">
        <v>1059</v>
      </c>
      <c r="C513" s="1" t="s">
        <v>6</v>
      </c>
      <c r="D513" s="1" t="s">
        <v>24</v>
      </c>
      <c r="E513" s="1" t="s">
        <v>566</v>
      </c>
    </row>
    <row r="514" spans="1:5" x14ac:dyDescent="0.4">
      <c r="A514" s="1" t="s">
        <v>1060</v>
      </c>
      <c r="B514" s="1" t="s">
        <v>1061</v>
      </c>
      <c r="C514" s="1" t="s">
        <v>6</v>
      </c>
      <c r="D514" s="1" t="s">
        <v>10</v>
      </c>
      <c r="E514" s="1" t="s">
        <v>151</v>
      </c>
    </row>
    <row r="515" spans="1:5" x14ac:dyDescent="0.4">
      <c r="A515" s="1" t="s">
        <v>1062</v>
      </c>
      <c r="B515" s="1" t="s">
        <v>1063</v>
      </c>
      <c r="C515" s="1" t="s">
        <v>6</v>
      </c>
      <c r="D515" s="1" t="s">
        <v>21</v>
      </c>
      <c r="E515" s="1" t="s">
        <v>349</v>
      </c>
    </row>
    <row r="516" spans="1:5" x14ac:dyDescent="0.4">
      <c r="A516" s="1" t="s">
        <v>1064</v>
      </c>
      <c r="B516" s="1" t="s">
        <v>1065</v>
      </c>
      <c r="C516" s="1" t="s">
        <v>6</v>
      </c>
      <c r="D516" s="1" t="s">
        <v>13</v>
      </c>
      <c r="E516" s="1" t="s">
        <v>615</v>
      </c>
    </row>
    <row r="517" spans="1:5" x14ac:dyDescent="0.4">
      <c r="A517" s="1" t="s">
        <v>1066</v>
      </c>
      <c r="B517" s="1" t="s">
        <v>1067</v>
      </c>
      <c r="C517" s="1" t="s">
        <v>6</v>
      </c>
      <c r="D517" s="1" t="s">
        <v>10</v>
      </c>
      <c r="E517" s="1" t="s">
        <v>138</v>
      </c>
    </row>
    <row r="518" spans="1:5" x14ac:dyDescent="0.4">
      <c r="A518" s="1" t="s">
        <v>1068</v>
      </c>
      <c r="B518" s="1" t="s">
        <v>1069</v>
      </c>
      <c r="C518" s="1" t="s">
        <v>6</v>
      </c>
      <c r="D518" s="1" t="s">
        <v>10</v>
      </c>
      <c r="E518" s="1" t="s">
        <v>156</v>
      </c>
    </row>
    <row r="519" spans="1:5" x14ac:dyDescent="0.4">
      <c r="A519" s="1" t="s">
        <v>1070</v>
      </c>
      <c r="B519" s="1" t="s">
        <v>1071</v>
      </c>
      <c r="C519" s="1" t="s">
        <v>6</v>
      </c>
      <c r="D519" s="1" t="s">
        <v>13</v>
      </c>
      <c r="E519" s="1" t="s">
        <v>646</v>
      </c>
    </row>
    <row r="520" spans="1:5" x14ac:dyDescent="0.4">
      <c r="A520" s="1" t="s">
        <v>1072</v>
      </c>
      <c r="B520" s="1" t="s">
        <v>1073</v>
      </c>
      <c r="C520" s="1" t="s">
        <v>6</v>
      </c>
      <c r="D520" s="1" t="s">
        <v>13</v>
      </c>
      <c r="E520" s="1" t="s">
        <v>566</v>
      </c>
    </row>
    <row r="521" spans="1:5" x14ac:dyDescent="0.4">
      <c r="A521" s="1" t="s">
        <v>1074</v>
      </c>
      <c r="B521" s="1" t="s">
        <v>1075</v>
      </c>
      <c r="C521" s="1" t="s">
        <v>6</v>
      </c>
      <c r="D521" s="1" t="s">
        <v>36</v>
      </c>
      <c r="E521" s="1" t="s">
        <v>185</v>
      </c>
    </row>
    <row r="522" spans="1:5" x14ac:dyDescent="0.4">
      <c r="A522" s="1" t="s">
        <v>1076</v>
      </c>
      <c r="B522" s="1" t="s">
        <v>1077</v>
      </c>
      <c r="C522" s="1" t="s">
        <v>6</v>
      </c>
      <c r="D522" s="1" t="s">
        <v>13</v>
      </c>
      <c r="E522" s="1" t="s">
        <v>566</v>
      </c>
    </row>
    <row r="523" spans="1:5" x14ac:dyDescent="0.4">
      <c r="A523" s="1" t="s">
        <v>1078</v>
      </c>
      <c r="B523" s="1" t="s">
        <v>1079</v>
      </c>
      <c r="C523" s="1" t="s">
        <v>6</v>
      </c>
      <c r="D523" s="1" t="s">
        <v>10</v>
      </c>
      <c r="E523" s="1" t="s">
        <v>156</v>
      </c>
    </row>
    <row r="524" spans="1:5" x14ac:dyDescent="0.4">
      <c r="A524" s="1" t="s">
        <v>1080</v>
      </c>
      <c r="B524" s="1" t="s">
        <v>1081</v>
      </c>
      <c r="C524" s="1" t="s">
        <v>6</v>
      </c>
      <c r="D524" s="1" t="s">
        <v>7</v>
      </c>
      <c r="E524" s="1" t="s">
        <v>166</v>
      </c>
    </row>
    <row r="525" spans="1:5" x14ac:dyDescent="0.4">
      <c r="A525" s="1" t="s">
        <v>1082</v>
      </c>
      <c r="B525" s="1" t="s">
        <v>1083</v>
      </c>
      <c r="C525" s="1" t="s">
        <v>6</v>
      </c>
      <c r="D525" s="1" t="s">
        <v>16</v>
      </c>
      <c r="E525" s="1" t="s">
        <v>166</v>
      </c>
    </row>
    <row r="526" spans="1:5" x14ac:dyDescent="0.4">
      <c r="A526" s="1" t="s">
        <v>1084</v>
      </c>
      <c r="B526" s="1" t="s">
        <v>1085</v>
      </c>
      <c r="C526" s="1" t="s">
        <v>6</v>
      </c>
      <c r="D526" s="1" t="s">
        <v>13</v>
      </c>
      <c r="E526" s="1" t="s">
        <v>185</v>
      </c>
    </row>
    <row r="527" spans="1:5" x14ac:dyDescent="0.4">
      <c r="A527" s="1" t="s">
        <v>1086</v>
      </c>
      <c r="B527" s="1" t="s">
        <v>1087</v>
      </c>
      <c r="C527" s="1" t="s">
        <v>6</v>
      </c>
      <c r="D527" s="1" t="s">
        <v>36</v>
      </c>
      <c r="E527" s="1" t="s">
        <v>18</v>
      </c>
    </row>
    <row r="528" spans="1:5" x14ac:dyDescent="0.4">
      <c r="A528" s="1" t="s">
        <v>1088</v>
      </c>
      <c r="B528" s="1" t="s">
        <v>1089</v>
      </c>
      <c r="C528" s="1" t="s">
        <v>6</v>
      </c>
      <c r="D528" s="1" t="s">
        <v>10</v>
      </c>
      <c r="E528" s="1" t="s">
        <v>143</v>
      </c>
    </row>
    <row r="529" spans="1:5" x14ac:dyDescent="0.4">
      <c r="A529" s="1" t="s">
        <v>1090</v>
      </c>
      <c r="B529" s="1" t="s">
        <v>1091</v>
      </c>
      <c r="C529" s="1" t="s">
        <v>6</v>
      </c>
      <c r="D529" s="1" t="s">
        <v>10</v>
      </c>
      <c r="E529" s="1" t="s">
        <v>151</v>
      </c>
    </row>
    <row r="530" spans="1:5" x14ac:dyDescent="0.4">
      <c r="A530" s="1" t="s">
        <v>1092</v>
      </c>
      <c r="B530" s="1" t="s">
        <v>1093</v>
      </c>
      <c r="C530" s="1" t="s">
        <v>6</v>
      </c>
      <c r="D530" s="1" t="s">
        <v>16</v>
      </c>
      <c r="E530" s="1" t="s">
        <v>730</v>
      </c>
    </row>
    <row r="531" spans="1:5" x14ac:dyDescent="0.4">
      <c r="A531" s="1" t="s">
        <v>1094</v>
      </c>
      <c r="B531" s="1" t="s">
        <v>1095</v>
      </c>
      <c r="C531" s="1" t="s">
        <v>6</v>
      </c>
      <c r="D531" s="1" t="s">
        <v>7</v>
      </c>
      <c r="E531" s="1" t="s">
        <v>161</v>
      </c>
    </row>
    <row r="532" spans="1:5" x14ac:dyDescent="0.4">
      <c r="A532" s="1" t="s">
        <v>1096</v>
      </c>
      <c r="B532" s="1" t="s">
        <v>1097</v>
      </c>
      <c r="C532" s="1" t="s">
        <v>6</v>
      </c>
      <c r="D532" s="1" t="s">
        <v>13</v>
      </c>
      <c r="E532" s="1" t="s">
        <v>138</v>
      </c>
    </row>
    <row r="533" spans="1:5" x14ac:dyDescent="0.4">
      <c r="A533" s="1" t="s">
        <v>1098</v>
      </c>
      <c r="B533" s="1" t="s">
        <v>1099</v>
      </c>
      <c r="C533" s="1" t="s">
        <v>6</v>
      </c>
      <c r="D533" s="1" t="s">
        <v>24</v>
      </c>
      <c r="E533" s="1" t="s">
        <v>566</v>
      </c>
    </row>
    <row r="534" spans="1:5" x14ac:dyDescent="0.4">
      <c r="A534" s="1" t="s">
        <v>1100</v>
      </c>
      <c r="B534" s="1" t="s">
        <v>1101</v>
      </c>
      <c r="C534" s="1" t="s">
        <v>6</v>
      </c>
      <c r="D534" s="1" t="s">
        <v>24</v>
      </c>
      <c r="E534" s="1" t="s">
        <v>161</v>
      </c>
    </row>
    <row r="535" spans="1:5" x14ac:dyDescent="0.4">
      <c r="A535" s="1" t="s">
        <v>1102</v>
      </c>
      <c r="B535" s="1" t="s">
        <v>1103</v>
      </c>
      <c r="C535" s="1" t="s">
        <v>6</v>
      </c>
      <c r="D535" s="1" t="s">
        <v>36</v>
      </c>
      <c r="E535" s="1" t="s">
        <v>130</v>
      </c>
    </row>
    <row r="536" spans="1:5" x14ac:dyDescent="0.4">
      <c r="A536" s="1" t="s">
        <v>1104</v>
      </c>
      <c r="B536" s="1" t="s">
        <v>1105</v>
      </c>
      <c r="C536" s="1" t="s">
        <v>6</v>
      </c>
      <c r="D536" s="1" t="s">
        <v>16</v>
      </c>
      <c r="E536" s="1" t="s">
        <v>151</v>
      </c>
    </row>
    <row r="537" spans="1:5" x14ac:dyDescent="0.4">
      <c r="A537" s="1" t="s">
        <v>1106</v>
      </c>
      <c r="B537" s="1" t="s">
        <v>1107</v>
      </c>
      <c r="C537" s="1" t="s">
        <v>6</v>
      </c>
      <c r="D537" s="1" t="s">
        <v>7</v>
      </c>
      <c r="E537" s="1" t="s">
        <v>615</v>
      </c>
    </row>
    <row r="538" spans="1:5" x14ac:dyDescent="0.4">
      <c r="A538" s="1" t="s">
        <v>1108</v>
      </c>
      <c r="B538" s="1" t="s">
        <v>1109</v>
      </c>
      <c r="C538" s="1" t="s">
        <v>6</v>
      </c>
      <c r="D538" s="1" t="s">
        <v>10</v>
      </c>
      <c r="E538" s="1" t="s">
        <v>325</v>
      </c>
    </row>
    <row r="539" spans="1:5" x14ac:dyDescent="0.4">
      <c r="A539" s="1" t="s">
        <v>1110</v>
      </c>
      <c r="B539" s="1" t="s">
        <v>1111</v>
      </c>
      <c r="C539" s="1" t="s">
        <v>6</v>
      </c>
      <c r="D539" s="1" t="s">
        <v>7</v>
      </c>
      <c r="E539" s="1" t="s">
        <v>18</v>
      </c>
    </row>
    <row r="540" spans="1:5" x14ac:dyDescent="0.4">
      <c r="A540" s="1" t="s">
        <v>1112</v>
      </c>
      <c r="B540" s="1" t="s">
        <v>1113</v>
      </c>
      <c r="C540" s="1" t="s">
        <v>6</v>
      </c>
      <c r="D540" s="1" t="s">
        <v>13</v>
      </c>
      <c r="E540" s="1" t="s">
        <v>185</v>
      </c>
    </row>
    <row r="541" spans="1:5" x14ac:dyDescent="0.4">
      <c r="A541" s="1" t="s">
        <v>1114</v>
      </c>
      <c r="B541" s="1" t="s">
        <v>1115</v>
      </c>
      <c r="C541" s="1" t="s">
        <v>6</v>
      </c>
      <c r="D541" s="1" t="s">
        <v>24</v>
      </c>
      <c r="E541" s="1" t="s">
        <v>624</v>
      </c>
    </row>
    <row r="542" spans="1:5" x14ac:dyDescent="0.4">
      <c r="A542" s="1" t="s">
        <v>1116</v>
      </c>
      <c r="B542" s="1" t="s">
        <v>1117</v>
      </c>
      <c r="C542" s="1" t="s">
        <v>6</v>
      </c>
      <c r="D542" s="1" t="s">
        <v>10</v>
      </c>
      <c r="E542" s="1" t="s">
        <v>151</v>
      </c>
    </row>
    <row r="543" spans="1:5" x14ac:dyDescent="0.4">
      <c r="A543" s="1" t="s">
        <v>1118</v>
      </c>
      <c r="B543" s="1" t="s">
        <v>1119</v>
      </c>
      <c r="C543" s="1" t="s">
        <v>6</v>
      </c>
      <c r="D543" s="1" t="s">
        <v>36</v>
      </c>
      <c r="E543" s="1" t="s">
        <v>125</v>
      </c>
    </row>
    <row r="544" spans="1:5" x14ac:dyDescent="0.4">
      <c r="A544" s="1" t="s">
        <v>1120</v>
      </c>
      <c r="B544" s="1" t="s">
        <v>1121</v>
      </c>
      <c r="C544" s="1" t="s">
        <v>6</v>
      </c>
      <c r="D544" s="1" t="s">
        <v>24</v>
      </c>
      <c r="E544" s="1" t="s">
        <v>135</v>
      </c>
    </row>
    <row r="545" spans="1:5" x14ac:dyDescent="0.4">
      <c r="A545" s="1" t="s">
        <v>1122</v>
      </c>
      <c r="B545" s="1" t="s">
        <v>1123</v>
      </c>
      <c r="C545" s="1" t="s">
        <v>6</v>
      </c>
      <c r="D545" s="1" t="s">
        <v>24</v>
      </c>
      <c r="E545" s="1" t="s">
        <v>730</v>
      </c>
    </row>
    <row r="546" spans="1:5" x14ac:dyDescent="0.4">
      <c r="A546" s="1" t="s">
        <v>1124</v>
      </c>
      <c r="B546" s="1" t="s">
        <v>1125</v>
      </c>
      <c r="C546" s="1" t="s">
        <v>6</v>
      </c>
      <c r="D546" s="1" t="s">
        <v>1126</v>
      </c>
      <c r="E546" s="1" t="s">
        <v>151</v>
      </c>
    </row>
    <row r="547" spans="1:5" x14ac:dyDescent="0.4">
      <c r="A547" s="1" t="s">
        <v>1127</v>
      </c>
      <c r="B547" s="1" t="s">
        <v>1128</v>
      </c>
      <c r="C547" s="1" t="s">
        <v>6</v>
      </c>
      <c r="D547" s="1" t="s">
        <v>16</v>
      </c>
      <c r="E547" s="1" t="s">
        <v>730</v>
      </c>
    </row>
    <row r="548" spans="1:5" x14ac:dyDescent="0.4">
      <c r="A548" s="1" t="s">
        <v>1129</v>
      </c>
      <c r="B548" s="1" t="s">
        <v>1130</v>
      </c>
      <c r="C548" s="1" t="s">
        <v>6</v>
      </c>
      <c r="D548" s="1" t="s">
        <v>30</v>
      </c>
      <c r="E548" s="1" t="s">
        <v>135</v>
      </c>
    </row>
    <row r="549" spans="1:5" x14ac:dyDescent="0.4">
      <c r="A549" s="1" t="s">
        <v>1131</v>
      </c>
      <c r="B549" s="1" t="s">
        <v>1132</v>
      </c>
      <c r="C549" s="1" t="s">
        <v>6</v>
      </c>
      <c r="D549" s="1" t="s">
        <v>24</v>
      </c>
      <c r="E549" s="1" t="s">
        <v>151</v>
      </c>
    </row>
    <row r="550" spans="1:5" x14ac:dyDescent="0.4">
      <c r="A550" s="1" t="s">
        <v>1133</v>
      </c>
      <c r="B550" s="1" t="s">
        <v>1134</v>
      </c>
      <c r="C550" s="1" t="s">
        <v>6</v>
      </c>
      <c r="D550" s="1" t="s">
        <v>13</v>
      </c>
      <c r="E550" s="1" t="s">
        <v>715</v>
      </c>
    </row>
    <row r="551" spans="1:5" x14ac:dyDescent="0.4">
      <c r="A551" s="1" t="s">
        <v>1135</v>
      </c>
      <c r="B551" s="1" t="s">
        <v>1136</v>
      </c>
      <c r="C551" s="1" t="s">
        <v>6</v>
      </c>
      <c r="D551" s="1" t="s">
        <v>7</v>
      </c>
      <c r="E551" s="1" t="s">
        <v>130</v>
      </c>
    </row>
    <row r="552" spans="1:5" x14ac:dyDescent="0.4">
      <c r="A552" s="1" t="s">
        <v>1137</v>
      </c>
      <c r="B552" s="1" t="s">
        <v>1138</v>
      </c>
      <c r="C552" s="1" t="s">
        <v>6</v>
      </c>
      <c r="D552" s="1" t="s">
        <v>13</v>
      </c>
      <c r="E552" s="1" t="s">
        <v>615</v>
      </c>
    </row>
    <row r="553" spans="1:5" x14ac:dyDescent="0.4">
      <c r="A553" s="1" t="s">
        <v>1139</v>
      </c>
      <c r="B553" s="1" t="s">
        <v>1140</v>
      </c>
      <c r="C553" s="1" t="s">
        <v>6</v>
      </c>
      <c r="D553" s="1" t="s">
        <v>24</v>
      </c>
      <c r="E553" s="1" t="s">
        <v>125</v>
      </c>
    </row>
    <row r="554" spans="1:5" x14ac:dyDescent="0.4">
      <c r="A554" s="1" t="s">
        <v>1141</v>
      </c>
      <c r="B554" s="1" t="s">
        <v>1142</v>
      </c>
      <c r="C554" s="1" t="s">
        <v>6</v>
      </c>
      <c r="D554" s="1" t="s">
        <v>16</v>
      </c>
      <c r="E554" s="1" t="s">
        <v>130</v>
      </c>
    </row>
    <row r="555" spans="1:5" x14ac:dyDescent="0.4">
      <c r="A555" s="1" t="s">
        <v>1143</v>
      </c>
      <c r="B555" s="1" t="s">
        <v>1144</v>
      </c>
      <c r="C555" s="1" t="s">
        <v>6</v>
      </c>
      <c r="D555" s="1" t="s">
        <v>21</v>
      </c>
      <c r="E555" s="1" t="s">
        <v>349</v>
      </c>
    </row>
    <row r="556" spans="1:5" x14ac:dyDescent="0.4">
      <c r="A556" s="1" t="s">
        <v>1145</v>
      </c>
      <c r="B556" s="1" t="s">
        <v>1146</v>
      </c>
      <c r="C556" s="1" t="s">
        <v>6</v>
      </c>
      <c r="D556" s="1" t="s">
        <v>24</v>
      </c>
      <c r="E556" s="1" t="s">
        <v>566</v>
      </c>
    </row>
    <row r="557" spans="1:5" x14ac:dyDescent="0.4">
      <c r="A557" s="1" t="s">
        <v>1147</v>
      </c>
      <c r="B557" s="1" t="s">
        <v>1148</v>
      </c>
      <c r="C557" s="1" t="s">
        <v>6</v>
      </c>
      <c r="D557" s="1" t="s">
        <v>13</v>
      </c>
      <c r="E557" s="1" t="s">
        <v>138</v>
      </c>
    </row>
    <row r="558" spans="1:5" x14ac:dyDescent="0.4">
      <c r="A558" s="1" t="s">
        <v>1149</v>
      </c>
      <c r="B558" s="1" t="s">
        <v>1150</v>
      </c>
      <c r="C558" s="1" t="s">
        <v>6</v>
      </c>
      <c r="D558" s="1" t="s">
        <v>10</v>
      </c>
      <c r="E558" s="1" t="s">
        <v>143</v>
      </c>
    </row>
    <row r="559" spans="1:5" x14ac:dyDescent="0.4">
      <c r="A559" s="1" t="s">
        <v>1151</v>
      </c>
      <c r="B559" s="1" t="s">
        <v>1152</v>
      </c>
      <c r="C559" s="1" t="s">
        <v>6</v>
      </c>
      <c r="D559" s="1" t="s">
        <v>13</v>
      </c>
      <c r="E559" s="1" t="s">
        <v>125</v>
      </c>
    </row>
    <row r="560" spans="1:5" x14ac:dyDescent="0.4">
      <c r="A560" s="1" t="s">
        <v>1153</v>
      </c>
      <c r="B560" s="1" t="s">
        <v>1154</v>
      </c>
      <c r="C560" s="1" t="s">
        <v>6</v>
      </c>
      <c r="D560" s="1" t="s">
        <v>13</v>
      </c>
      <c r="E560" s="1" t="s">
        <v>204</v>
      </c>
    </row>
    <row r="561" spans="1:5" x14ac:dyDescent="0.4">
      <c r="A561" s="1" t="s">
        <v>1155</v>
      </c>
      <c r="B561" s="1" t="s">
        <v>1156</v>
      </c>
      <c r="C561" s="1" t="s">
        <v>6</v>
      </c>
      <c r="D561" s="1" t="s">
        <v>24</v>
      </c>
      <c r="E561" s="1" t="s">
        <v>138</v>
      </c>
    </row>
    <row r="562" spans="1:5" x14ac:dyDescent="0.4">
      <c r="A562" s="1" t="s">
        <v>1157</v>
      </c>
      <c r="B562" s="1" t="s">
        <v>1158</v>
      </c>
      <c r="C562" s="1" t="s">
        <v>6</v>
      </c>
      <c r="D562" s="1" t="s">
        <v>10</v>
      </c>
      <c r="E562" s="1" t="s">
        <v>156</v>
      </c>
    </row>
    <row r="563" spans="1:5" x14ac:dyDescent="0.4">
      <c r="A563" s="1" t="s">
        <v>1159</v>
      </c>
      <c r="B563" s="1" t="s">
        <v>1160</v>
      </c>
      <c r="C563" s="1" t="s">
        <v>6</v>
      </c>
      <c r="D563" s="1" t="s">
        <v>13</v>
      </c>
      <c r="E563" s="1" t="s">
        <v>646</v>
      </c>
    </row>
    <row r="564" spans="1:5" x14ac:dyDescent="0.4">
      <c r="A564" s="1" t="s">
        <v>1161</v>
      </c>
      <c r="B564" s="1" t="s">
        <v>1162</v>
      </c>
      <c r="C564" s="1" t="s">
        <v>6</v>
      </c>
      <c r="D564" s="1" t="s">
        <v>10</v>
      </c>
      <c r="E564" s="1" t="s">
        <v>138</v>
      </c>
    </row>
    <row r="565" spans="1:5" x14ac:dyDescent="0.4">
      <c r="A565" s="1" t="s">
        <v>1163</v>
      </c>
      <c r="B565" s="1" t="s">
        <v>1164</v>
      </c>
      <c r="C565" s="1" t="s">
        <v>6</v>
      </c>
      <c r="D565" s="1" t="s">
        <v>24</v>
      </c>
      <c r="E565" s="1" t="s">
        <v>566</v>
      </c>
    </row>
    <row r="566" spans="1:5" x14ac:dyDescent="0.4">
      <c r="A566" s="1" t="s">
        <v>1165</v>
      </c>
      <c r="B566" s="1" t="s">
        <v>1166</v>
      </c>
      <c r="C566" s="1" t="s">
        <v>6</v>
      </c>
      <c r="D566" s="1" t="s">
        <v>24</v>
      </c>
      <c r="E566" s="1" t="s">
        <v>166</v>
      </c>
    </row>
    <row r="567" spans="1:5" x14ac:dyDescent="0.4">
      <c r="A567" s="1" t="s">
        <v>1167</v>
      </c>
      <c r="B567" s="1" t="s">
        <v>1168</v>
      </c>
      <c r="C567" s="1" t="s">
        <v>6</v>
      </c>
      <c r="D567" s="1" t="s">
        <v>10</v>
      </c>
      <c r="E567" s="1" t="s">
        <v>204</v>
      </c>
    </row>
    <row r="568" spans="1:5" x14ac:dyDescent="0.4">
      <c r="A568" s="1" t="s">
        <v>1169</v>
      </c>
      <c r="B568" s="1" t="s">
        <v>1170</v>
      </c>
      <c r="C568" s="1" t="s">
        <v>6</v>
      </c>
      <c r="D568" s="1" t="s">
        <v>10</v>
      </c>
      <c r="E568" s="1" t="s">
        <v>185</v>
      </c>
    </row>
    <row r="569" spans="1:5" x14ac:dyDescent="0.4">
      <c r="A569" s="1" t="s">
        <v>1171</v>
      </c>
      <c r="B569" s="1" t="s">
        <v>1172</v>
      </c>
      <c r="C569" s="1" t="s">
        <v>6</v>
      </c>
      <c r="D569" s="1" t="s">
        <v>24</v>
      </c>
      <c r="E569" s="1" t="s">
        <v>624</v>
      </c>
    </row>
    <row r="570" spans="1:5" x14ac:dyDescent="0.4">
      <c r="A570" s="1" t="s">
        <v>1173</v>
      </c>
      <c r="B570" s="1" t="s">
        <v>1174</v>
      </c>
      <c r="C570" s="1" t="s">
        <v>6</v>
      </c>
      <c r="D570" s="1" t="s">
        <v>10</v>
      </c>
      <c r="E570" s="1" t="s">
        <v>330</v>
      </c>
    </row>
    <row r="571" spans="1:5" x14ac:dyDescent="0.4">
      <c r="A571" s="1" t="s">
        <v>1175</v>
      </c>
      <c r="B571" s="1" t="s">
        <v>1176</v>
      </c>
      <c r="C571" s="1" t="s">
        <v>6</v>
      </c>
      <c r="D571" s="1" t="s">
        <v>10</v>
      </c>
      <c r="E571" s="1" t="s">
        <v>330</v>
      </c>
    </row>
    <row r="572" spans="1:5" x14ac:dyDescent="0.4">
      <c r="A572" s="1" t="s">
        <v>1177</v>
      </c>
      <c r="B572" s="1" t="s">
        <v>1178</v>
      </c>
      <c r="C572" s="1" t="s">
        <v>6</v>
      </c>
      <c r="D572" s="1" t="s">
        <v>10</v>
      </c>
      <c r="E572" s="1" t="s">
        <v>330</v>
      </c>
    </row>
    <row r="573" spans="1:5" x14ac:dyDescent="0.4">
      <c r="A573" s="1" t="s">
        <v>1179</v>
      </c>
      <c r="B573" s="1" t="s">
        <v>1180</v>
      </c>
      <c r="C573" s="1" t="s">
        <v>6</v>
      </c>
      <c r="D573" s="1" t="s">
        <v>21</v>
      </c>
      <c r="E573" s="1" t="s">
        <v>330</v>
      </c>
    </row>
    <row r="574" spans="1:5" x14ac:dyDescent="0.4">
      <c r="A574" s="1" t="s">
        <v>1181</v>
      </c>
      <c r="B574" s="1" t="s">
        <v>1182</v>
      </c>
      <c r="C574" s="1" t="s">
        <v>6</v>
      </c>
      <c r="D574" s="1" t="s">
        <v>7</v>
      </c>
      <c r="E574" s="1" t="s">
        <v>330</v>
      </c>
    </row>
    <row r="575" spans="1:5" x14ac:dyDescent="0.4">
      <c r="A575" s="1" t="s">
        <v>1183</v>
      </c>
      <c r="B575" s="1" t="s">
        <v>1184</v>
      </c>
      <c r="C575" s="1" t="s">
        <v>6</v>
      </c>
      <c r="D575" s="1" t="s">
        <v>13</v>
      </c>
      <c r="E575" s="1" t="s">
        <v>330</v>
      </c>
    </row>
    <row r="576" spans="1:5" x14ac:dyDescent="0.4">
      <c r="A576" s="1" t="s">
        <v>1185</v>
      </c>
      <c r="B576" s="1" t="s">
        <v>1186</v>
      </c>
      <c r="C576" s="1" t="s">
        <v>6</v>
      </c>
      <c r="D576" s="1" t="s">
        <v>13</v>
      </c>
      <c r="E576" s="1" t="s">
        <v>330</v>
      </c>
    </row>
    <row r="577" spans="1:5" x14ac:dyDescent="0.4">
      <c r="A577" s="1" t="s">
        <v>1187</v>
      </c>
      <c r="B577" s="1" t="s">
        <v>1188</v>
      </c>
      <c r="C577" s="1" t="s">
        <v>6</v>
      </c>
      <c r="D577" s="1" t="s">
        <v>10</v>
      </c>
      <c r="E577" s="1" t="s">
        <v>330</v>
      </c>
    </row>
    <row r="578" spans="1:5" x14ac:dyDescent="0.4">
      <c r="A578" s="1" t="s">
        <v>1189</v>
      </c>
      <c r="B578" s="1" t="s">
        <v>1190</v>
      </c>
      <c r="C578" s="1" t="s">
        <v>6</v>
      </c>
      <c r="D578" s="1" t="s">
        <v>7</v>
      </c>
      <c r="E578" s="1" t="s">
        <v>330</v>
      </c>
    </row>
    <row r="579" spans="1:5" x14ac:dyDescent="0.4">
      <c r="A579" s="1" t="s">
        <v>1191</v>
      </c>
      <c r="B579" s="1" t="s">
        <v>1192</v>
      </c>
      <c r="C579" s="1" t="s">
        <v>6</v>
      </c>
      <c r="D579" s="1" t="s">
        <v>7</v>
      </c>
      <c r="E579" s="1" t="s">
        <v>330</v>
      </c>
    </row>
    <row r="580" spans="1:5" x14ac:dyDescent="0.4">
      <c r="A580" s="1" t="s">
        <v>1193</v>
      </c>
      <c r="B580" s="1" t="s">
        <v>1194</v>
      </c>
      <c r="C580" s="1" t="s">
        <v>6</v>
      </c>
      <c r="D580" s="1" t="s">
        <v>10</v>
      </c>
      <c r="E580" s="1" t="s">
        <v>330</v>
      </c>
    </row>
    <row r="581" spans="1:5" x14ac:dyDescent="0.4">
      <c r="A581" s="1" t="s">
        <v>1195</v>
      </c>
      <c r="B581" s="1" t="s">
        <v>1196</v>
      </c>
      <c r="C581" s="1" t="s">
        <v>6</v>
      </c>
      <c r="D581" s="1" t="s">
        <v>13</v>
      </c>
      <c r="E581" s="1" t="s">
        <v>330</v>
      </c>
    </row>
    <row r="582" spans="1:5" x14ac:dyDescent="0.4">
      <c r="A582" s="1" t="s">
        <v>1197</v>
      </c>
      <c r="B582" s="1" t="s">
        <v>1198</v>
      </c>
      <c r="C582" s="1" t="s">
        <v>6</v>
      </c>
      <c r="D582" s="1" t="s">
        <v>10</v>
      </c>
      <c r="E582" s="1" t="s">
        <v>330</v>
      </c>
    </row>
    <row r="583" spans="1:5" x14ac:dyDescent="0.4">
      <c r="A583" s="1" t="s">
        <v>1199</v>
      </c>
      <c r="B583" s="1" t="s">
        <v>1200</v>
      </c>
      <c r="C583" s="1" t="s">
        <v>6</v>
      </c>
      <c r="D583" s="1" t="s">
        <v>36</v>
      </c>
      <c r="E583" s="1" t="s">
        <v>330</v>
      </c>
    </row>
    <row r="584" spans="1:5" x14ac:dyDescent="0.4">
      <c r="A584" s="1" t="s">
        <v>1201</v>
      </c>
      <c r="B584" s="1" t="s">
        <v>1202</v>
      </c>
      <c r="C584" s="1" t="s">
        <v>6</v>
      </c>
      <c r="D584" s="1" t="s">
        <v>21</v>
      </c>
      <c r="E584" s="1" t="s">
        <v>330</v>
      </c>
    </row>
    <row r="585" spans="1:5" x14ac:dyDescent="0.4">
      <c r="A585" s="1" t="s">
        <v>1203</v>
      </c>
      <c r="B585" s="1" t="s">
        <v>1204</v>
      </c>
      <c r="C585" s="1" t="s">
        <v>6</v>
      </c>
      <c r="D585" s="1" t="s">
        <v>7</v>
      </c>
      <c r="E585" s="1" t="s">
        <v>330</v>
      </c>
    </row>
    <row r="586" spans="1:5" x14ac:dyDescent="0.4">
      <c r="A586" s="1" t="s">
        <v>1205</v>
      </c>
      <c r="B586" s="1" t="s">
        <v>1206</v>
      </c>
      <c r="C586" s="1" t="s">
        <v>6</v>
      </c>
      <c r="D586" s="1" t="s">
        <v>13</v>
      </c>
      <c r="E586" s="1" t="s">
        <v>330</v>
      </c>
    </row>
    <row r="587" spans="1:5" x14ac:dyDescent="0.4">
      <c r="A587" s="1" t="s">
        <v>1207</v>
      </c>
      <c r="B587" s="1" t="s">
        <v>1208</v>
      </c>
      <c r="C587" s="1" t="s">
        <v>6</v>
      </c>
      <c r="D587" s="1" t="s">
        <v>10</v>
      </c>
      <c r="E587" s="1" t="s">
        <v>330</v>
      </c>
    </row>
    <row r="588" spans="1:5" x14ac:dyDescent="0.4">
      <c r="A588" s="1" t="s">
        <v>1209</v>
      </c>
      <c r="B588" s="1" t="s">
        <v>1210</v>
      </c>
      <c r="C588" s="1" t="s">
        <v>6</v>
      </c>
      <c r="D588" s="1" t="s">
        <v>7</v>
      </c>
      <c r="E588" s="1" t="s">
        <v>330</v>
      </c>
    </row>
    <row r="589" spans="1:5" x14ac:dyDescent="0.4">
      <c r="A589" s="1" t="s">
        <v>1211</v>
      </c>
      <c r="B589" s="1" t="s">
        <v>1212</v>
      </c>
      <c r="C589" s="1" t="s">
        <v>6</v>
      </c>
      <c r="D589" s="1" t="s">
        <v>21</v>
      </c>
      <c r="E589" s="1" t="s">
        <v>330</v>
      </c>
    </row>
    <row r="590" spans="1:5" x14ac:dyDescent="0.4">
      <c r="A590" s="1" t="s">
        <v>1213</v>
      </c>
      <c r="B590" s="1" t="s">
        <v>1214</v>
      </c>
      <c r="C590" s="1" t="s">
        <v>6</v>
      </c>
      <c r="D590" s="1" t="s">
        <v>13</v>
      </c>
      <c r="E590" s="1" t="s">
        <v>330</v>
      </c>
    </row>
    <row r="591" spans="1:5" x14ac:dyDescent="0.4">
      <c r="A591" s="1" t="s">
        <v>1215</v>
      </c>
      <c r="B591" s="1" t="s">
        <v>1216</v>
      </c>
      <c r="C591" s="1" t="s">
        <v>6</v>
      </c>
      <c r="D591" s="1" t="s">
        <v>10</v>
      </c>
      <c r="E591" s="1" t="s">
        <v>330</v>
      </c>
    </row>
    <row r="592" spans="1:5" x14ac:dyDescent="0.4">
      <c r="A592" s="1" t="s">
        <v>1217</v>
      </c>
      <c r="B592" s="1" t="s">
        <v>1218</v>
      </c>
      <c r="C592" s="1" t="s">
        <v>56</v>
      </c>
      <c r="D592" s="1"/>
      <c r="E592" s="1" t="s">
        <v>330</v>
      </c>
    </row>
    <row r="593" spans="1:5" x14ac:dyDescent="0.4">
      <c r="A593" s="1" t="s">
        <v>1219</v>
      </c>
      <c r="B593" s="1" t="s">
        <v>1220</v>
      </c>
      <c r="C593" s="1" t="s">
        <v>6</v>
      </c>
      <c r="D593" s="1" t="s">
        <v>24</v>
      </c>
      <c r="E593" s="1" t="s">
        <v>330</v>
      </c>
    </row>
    <row r="594" spans="1:5" x14ac:dyDescent="0.4">
      <c r="A594" s="1" t="s">
        <v>1221</v>
      </c>
      <c r="B594" s="1" t="s">
        <v>1222</v>
      </c>
      <c r="C594" s="1" t="s">
        <v>6</v>
      </c>
      <c r="D594" s="1" t="s">
        <v>10</v>
      </c>
      <c r="E594" s="1" t="s">
        <v>330</v>
      </c>
    </row>
    <row r="595" spans="1:5" x14ac:dyDescent="0.4">
      <c r="A595" s="1" t="s">
        <v>1223</v>
      </c>
      <c r="B595" s="1" t="s">
        <v>1224</v>
      </c>
      <c r="C595" s="1" t="s">
        <v>6</v>
      </c>
      <c r="D595" s="1" t="s">
        <v>21</v>
      </c>
      <c r="E595" s="1" t="s">
        <v>330</v>
      </c>
    </row>
    <row r="596" spans="1:5" x14ac:dyDescent="0.4">
      <c r="A596" s="1" t="s">
        <v>1225</v>
      </c>
      <c r="B596" s="1" t="s">
        <v>1226</v>
      </c>
      <c r="C596" s="1" t="s">
        <v>6</v>
      </c>
      <c r="D596" s="1" t="s">
        <v>13</v>
      </c>
      <c r="E596" s="1" t="s">
        <v>330</v>
      </c>
    </row>
    <row r="597" spans="1:5" x14ac:dyDescent="0.4">
      <c r="A597" s="1" t="s">
        <v>1227</v>
      </c>
      <c r="B597" s="1" t="s">
        <v>1228</v>
      </c>
      <c r="C597" s="1" t="s">
        <v>6</v>
      </c>
      <c r="D597" s="1" t="s">
        <v>10</v>
      </c>
      <c r="E597" s="1" t="s">
        <v>330</v>
      </c>
    </row>
    <row r="598" spans="1:5" x14ac:dyDescent="0.4">
      <c r="A598" s="1" t="s">
        <v>1229</v>
      </c>
      <c r="B598" s="1" t="s">
        <v>1230</v>
      </c>
      <c r="C598" s="1" t="s">
        <v>6</v>
      </c>
      <c r="D598" s="1" t="s">
        <v>16</v>
      </c>
      <c r="E598" s="1" t="s">
        <v>330</v>
      </c>
    </row>
    <row r="599" spans="1:5" x14ac:dyDescent="0.4">
      <c r="A599" s="1" t="s">
        <v>1231</v>
      </c>
      <c r="B599" s="1" t="s">
        <v>1232</v>
      </c>
      <c r="C599" s="1" t="s">
        <v>6</v>
      </c>
      <c r="D599" s="1" t="s">
        <v>24</v>
      </c>
      <c r="E599" s="1" t="s">
        <v>330</v>
      </c>
    </row>
    <row r="600" spans="1:5" x14ac:dyDescent="0.4">
      <c r="A600" s="1" t="s">
        <v>1233</v>
      </c>
      <c r="B600" s="1" t="s">
        <v>1234</v>
      </c>
      <c r="C600" s="1" t="s">
        <v>6</v>
      </c>
      <c r="D600" s="1" t="s">
        <v>13</v>
      </c>
      <c r="E600" s="1" t="s">
        <v>330</v>
      </c>
    </row>
    <row r="601" spans="1:5" x14ac:dyDescent="0.4">
      <c r="A601" s="1" t="s">
        <v>1235</v>
      </c>
      <c r="B601" s="1" t="s">
        <v>1236</v>
      </c>
      <c r="C601" s="1" t="s">
        <v>6</v>
      </c>
      <c r="D601" s="1" t="s">
        <v>10</v>
      </c>
      <c r="E601" s="1" t="s">
        <v>330</v>
      </c>
    </row>
    <row r="602" spans="1:5" x14ac:dyDescent="0.4">
      <c r="A602" s="1" t="s">
        <v>1237</v>
      </c>
      <c r="B602" s="1" t="s">
        <v>1238</v>
      </c>
      <c r="C602" s="1" t="s">
        <v>56</v>
      </c>
      <c r="D602" s="1"/>
      <c r="E602" s="1" t="s">
        <v>330</v>
      </c>
    </row>
    <row r="603" spans="1:5" x14ac:dyDescent="0.4">
      <c r="A603" s="1" t="s">
        <v>1239</v>
      </c>
      <c r="B603" s="1" t="s">
        <v>1240</v>
      </c>
      <c r="C603" s="1" t="s">
        <v>6</v>
      </c>
      <c r="D603" s="1" t="s">
        <v>24</v>
      </c>
      <c r="E603" s="1" t="s">
        <v>330</v>
      </c>
    </row>
    <row r="604" spans="1:5" x14ac:dyDescent="0.4">
      <c r="A604" s="1" t="s">
        <v>1241</v>
      </c>
      <c r="B604" s="1" t="s">
        <v>1242</v>
      </c>
      <c r="C604" s="1" t="s">
        <v>6</v>
      </c>
      <c r="D604" s="1" t="s">
        <v>13</v>
      </c>
      <c r="E604" s="1" t="s">
        <v>330</v>
      </c>
    </row>
    <row r="605" spans="1:5" x14ac:dyDescent="0.4">
      <c r="A605" s="1" t="s">
        <v>1243</v>
      </c>
      <c r="B605" s="1" t="s">
        <v>1244</v>
      </c>
      <c r="C605" s="1" t="s">
        <v>6</v>
      </c>
      <c r="D605" s="1" t="s">
        <v>10</v>
      </c>
      <c r="E605" s="1" t="s">
        <v>330</v>
      </c>
    </row>
    <row r="606" spans="1:5" x14ac:dyDescent="0.4">
      <c r="A606" s="1" t="s">
        <v>1245</v>
      </c>
      <c r="B606" s="1" t="s">
        <v>1246</v>
      </c>
      <c r="C606" s="1" t="s">
        <v>6</v>
      </c>
      <c r="D606" s="1" t="s">
        <v>21</v>
      </c>
      <c r="E606" s="1" t="s">
        <v>330</v>
      </c>
    </row>
    <row r="607" spans="1:5" x14ac:dyDescent="0.4">
      <c r="A607" s="1" t="s">
        <v>1247</v>
      </c>
      <c r="B607" s="1" t="s">
        <v>1248</v>
      </c>
      <c r="C607" s="1" t="s">
        <v>6</v>
      </c>
      <c r="D607" s="1" t="s">
        <v>10</v>
      </c>
      <c r="E607" s="1" t="s">
        <v>156</v>
      </c>
    </row>
    <row r="608" spans="1:5" x14ac:dyDescent="0.4">
      <c r="A608" s="1" t="s">
        <v>1249</v>
      </c>
      <c r="B608" s="1" t="s">
        <v>1250</v>
      </c>
      <c r="C608" s="1" t="s">
        <v>6</v>
      </c>
      <c r="D608" s="1" t="s">
        <v>30</v>
      </c>
      <c r="E608" s="1" t="s">
        <v>156</v>
      </c>
    </row>
    <row r="609" spans="1:5" x14ac:dyDescent="0.4">
      <c r="A609" s="1" t="s">
        <v>1251</v>
      </c>
      <c r="B609" s="1" t="s">
        <v>1252</v>
      </c>
      <c r="C609" s="1" t="s">
        <v>6</v>
      </c>
      <c r="D609" s="1" t="s">
        <v>7</v>
      </c>
      <c r="E609" s="1" t="s">
        <v>156</v>
      </c>
    </row>
    <row r="610" spans="1:5" x14ac:dyDescent="0.4">
      <c r="A610" s="1" t="s">
        <v>1253</v>
      </c>
      <c r="B610" s="1" t="s">
        <v>1254</v>
      </c>
      <c r="C610" s="1" t="s">
        <v>6</v>
      </c>
      <c r="D610" s="1" t="s">
        <v>33</v>
      </c>
      <c r="E610" s="1" t="s">
        <v>156</v>
      </c>
    </row>
    <row r="611" spans="1:5" x14ac:dyDescent="0.4">
      <c r="A611" s="1" t="s">
        <v>1255</v>
      </c>
      <c r="B611" s="1" t="s">
        <v>1256</v>
      </c>
      <c r="C611" s="1" t="s">
        <v>6</v>
      </c>
      <c r="D611" s="1" t="s">
        <v>7</v>
      </c>
      <c r="E611" s="1" t="s">
        <v>156</v>
      </c>
    </row>
    <row r="612" spans="1:5" x14ac:dyDescent="0.4">
      <c r="A612" s="1" t="s">
        <v>1257</v>
      </c>
      <c r="B612" s="1" t="s">
        <v>1258</v>
      </c>
      <c r="C612" s="1" t="s">
        <v>6</v>
      </c>
      <c r="D612" s="1" t="s">
        <v>36</v>
      </c>
      <c r="E612" s="1" t="s">
        <v>156</v>
      </c>
    </row>
    <row r="613" spans="1:5" x14ac:dyDescent="0.4">
      <c r="A613" s="1" t="s">
        <v>1259</v>
      </c>
      <c r="B613" s="1" t="s">
        <v>1260</v>
      </c>
      <c r="C613" s="1" t="s">
        <v>6</v>
      </c>
      <c r="D613" s="1" t="s">
        <v>10</v>
      </c>
      <c r="E613" s="1" t="s">
        <v>156</v>
      </c>
    </row>
    <row r="614" spans="1:5" x14ac:dyDescent="0.4">
      <c r="A614" s="1" t="s">
        <v>1261</v>
      </c>
      <c r="B614" s="1" t="s">
        <v>1262</v>
      </c>
      <c r="C614" s="1" t="s">
        <v>6</v>
      </c>
      <c r="D614" s="1" t="s">
        <v>10</v>
      </c>
      <c r="E614" s="1" t="s">
        <v>156</v>
      </c>
    </row>
    <row r="615" spans="1:5" x14ac:dyDescent="0.4">
      <c r="A615" s="1" t="s">
        <v>1263</v>
      </c>
      <c r="B615" s="1" t="s">
        <v>1264</v>
      </c>
      <c r="C615" s="1" t="s">
        <v>6</v>
      </c>
      <c r="D615" s="1" t="s">
        <v>10</v>
      </c>
      <c r="E615" s="1" t="s">
        <v>156</v>
      </c>
    </row>
    <row r="616" spans="1:5" x14ac:dyDescent="0.4">
      <c r="A616" s="1" t="s">
        <v>1265</v>
      </c>
      <c r="B616" s="1" t="s">
        <v>1266</v>
      </c>
      <c r="C616" s="1" t="s">
        <v>6</v>
      </c>
      <c r="D616" s="1" t="s">
        <v>7</v>
      </c>
      <c r="E616" s="1" t="s">
        <v>156</v>
      </c>
    </row>
    <row r="617" spans="1:5" x14ac:dyDescent="0.4">
      <c r="A617" s="1" t="s">
        <v>1267</v>
      </c>
      <c r="B617" s="1" t="s">
        <v>1268</v>
      </c>
      <c r="C617" s="1" t="s">
        <v>6</v>
      </c>
      <c r="D617" s="1" t="s">
        <v>10</v>
      </c>
      <c r="E617" s="1" t="s">
        <v>156</v>
      </c>
    </row>
    <row r="618" spans="1:5" x14ac:dyDescent="0.4">
      <c r="A618" s="1" t="s">
        <v>1269</v>
      </c>
      <c r="B618" s="1" t="s">
        <v>1270</v>
      </c>
      <c r="C618" s="1" t="s">
        <v>6</v>
      </c>
      <c r="D618" s="1" t="s">
        <v>10</v>
      </c>
      <c r="E618" s="1" t="s">
        <v>156</v>
      </c>
    </row>
    <row r="619" spans="1:5" x14ac:dyDescent="0.4">
      <c r="A619" s="1" t="s">
        <v>1271</v>
      </c>
      <c r="B619" s="1" t="s">
        <v>1272</v>
      </c>
      <c r="C619" s="1" t="s">
        <v>56</v>
      </c>
      <c r="D619" s="1"/>
      <c r="E619" s="1" t="s">
        <v>156</v>
      </c>
    </row>
    <row r="620" spans="1:5" x14ac:dyDescent="0.4">
      <c r="A620" s="1" t="s">
        <v>1273</v>
      </c>
      <c r="B620" s="1" t="s">
        <v>1274</v>
      </c>
      <c r="C620" s="1" t="s">
        <v>6</v>
      </c>
      <c r="D620" s="1" t="s">
        <v>16</v>
      </c>
      <c r="E620" s="1" t="s">
        <v>156</v>
      </c>
    </row>
    <row r="621" spans="1:5" x14ac:dyDescent="0.4">
      <c r="A621" s="1" t="s">
        <v>1275</v>
      </c>
      <c r="B621" s="1" t="s">
        <v>1276</v>
      </c>
      <c r="C621" s="1" t="s">
        <v>6</v>
      </c>
      <c r="D621" s="1" t="s">
        <v>33</v>
      </c>
      <c r="E621" s="1" t="s">
        <v>156</v>
      </c>
    </row>
    <row r="622" spans="1:5" x14ac:dyDescent="0.4">
      <c r="A622" s="1" t="s">
        <v>1277</v>
      </c>
      <c r="B622" s="1" t="s">
        <v>1278</v>
      </c>
      <c r="C622" s="1" t="s">
        <v>6</v>
      </c>
      <c r="D622" s="1" t="s">
        <v>33</v>
      </c>
      <c r="E622" s="1" t="s">
        <v>156</v>
      </c>
    </row>
    <row r="623" spans="1:5" ht="15.45" x14ac:dyDescent="0.4">
      <c r="A623" s="3" t="s">
        <v>744</v>
      </c>
      <c r="B623" s="3" t="s">
        <v>1279</v>
      </c>
      <c r="C623" s="1" t="s">
        <v>6</v>
      </c>
      <c r="D623" s="3" t="s">
        <v>27</v>
      </c>
      <c r="E623" s="1" t="s">
        <v>125</v>
      </c>
    </row>
    <row r="624" spans="1:5" x14ac:dyDescent="0.4">
      <c r="A624" s="1" t="s">
        <v>1280</v>
      </c>
      <c r="B624" s="1" t="s">
        <v>1281</v>
      </c>
      <c r="C624" s="1" t="s">
        <v>39</v>
      </c>
      <c r="D624" s="1"/>
      <c r="E624" s="1" t="s">
        <v>151</v>
      </c>
    </row>
    <row r="625" spans="1:5" x14ac:dyDescent="0.4">
      <c r="A625" s="1" t="s">
        <v>1282</v>
      </c>
      <c r="B625" s="1" t="s">
        <v>1283</v>
      </c>
      <c r="C625" s="1" t="s">
        <v>39</v>
      </c>
      <c r="D625" s="1"/>
      <c r="E625" s="1" t="s">
        <v>156</v>
      </c>
    </row>
    <row r="626" spans="1:5" x14ac:dyDescent="0.4">
      <c r="A626" s="1" t="s">
        <v>1284</v>
      </c>
      <c r="B626" s="1" t="s">
        <v>1285</v>
      </c>
      <c r="C626" s="1" t="s">
        <v>39</v>
      </c>
      <c r="D626" s="1"/>
      <c r="E626" s="1" t="s">
        <v>166</v>
      </c>
    </row>
    <row r="627" spans="1:5" x14ac:dyDescent="0.4">
      <c r="A627" s="1" t="s">
        <v>1286</v>
      </c>
      <c r="B627" s="1" t="s">
        <v>1287</v>
      </c>
      <c r="C627" s="1" t="s">
        <v>39</v>
      </c>
      <c r="D627" s="1"/>
      <c r="E627" s="1" t="s">
        <v>715</v>
      </c>
    </row>
    <row r="628" spans="1:5" ht="15.45" x14ac:dyDescent="0.4">
      <c r="A628" s="3" t="s">
        <v>1288</v>
      </c>
      <c r="B628" s="3" t="s">
        <v>1289</v>
      </c>
      <c r="C628" s="1" t="s">
        <v>39</v>
      </c>
      <c r="D628" s="3"/>
      <c r="E628" s="1" t="s">
        <v>166</v>
      </c>
    </row>
    <row r="629" spans="1:5" ht="15.45" x14ac:dyDescent="0.4">
      <c r="A629" s="3" t="s">
        <v>1290</v>
      </c>
      <c r="B629" s="3" t="s">
        <v>1291</v>
      </c>
      <c r="C629" s="1" t="s">
        <v>39</v>
      </c>
      <c r="D629" s="1"/>
      <c r="E629" s="1" t="s">
        <v>627</v>
      </c>
    </row>
    <row r="630" spans="1:5" x14ac:dyDescent="0.4">
      <c r="A630" s="1" t="s">
        <v>1292</v>
      </c>
      <c r="B630" s="1" t="s">
        <v>1293</v>
      </c>
      <c r="C630" s="1" t="s">
        <v>39</v>
      </c>
      <c r="D630" s="1"/>
      <c r="E630" s="1" t="s">
        <v>325</v>
      </c>
    </row>
    <row r="631" spans="1:5" x14ac:dyDescent="0.4">
      <c r="A631" s="1" t="s">
        <v>775</v>
      </c>
      <c r="B631" s="1" t="s">
        <v>1294</v>
      </c>
      <c r="C631" s="1" t="s">
        <v>39</v>
      </c>
      <c r="D631" s="1"/>
      <c r="E631" s="1" t="s">
        <v>349</v>
      </c>
    </row>
    <row r="632" spans="1:5" x14ac:dyDescent="0.4">
      <c r="A632" s="1" t="s">
        <v>1295</v>
      </c>
      <c r="B632" s="1" t="s">
        <v>1296</v>
      </c>
      <c r="C632" s="1" t="s">
        <v>39</v>
      </c>
      <c r="D632" s="1"/>
      <c r="E632" s="1" t="s">
        <v>151</v>
      </c>
    </row>
    <row r="633" spans="1:5" x14ac:dyDescent="0.4">
      <c r="A633" s="1" t="s">
        <v>1297</v>
      </c>
      <c r="B633" s="1" t="s">
        <v>1298</v>
      </c>
      <c r="C633" s="1" t="s">
        <v>39</v>
      </c>
      <c r="D633" s="1"/>
      <c r="E633" s="1" t="s">
        <v>349</v>
      </c>
    </row>
    <row r="634" spans="1:5" x14ac:dyDescent="0.4">
      <c r="A634" s="1" t="s">
        <v>737</v>
      </c>
      <c r="B634" s="1" t="s">
        <v>1299</v>
      </c>
      <c r="C634" s="1" t="s">
        <v>39</v>
      </c>
      <c r="D634" s="1"/>
      <c r="E634" s="1" t="s">
        <v>325</v>
      </c>
    </row>
    <row r="635" spans="1:5" x14ac:dyDescent="0.4">
      <c r="A635" s="1" t="s">
        <v>1300</v>
      </c>
      <c r="B635" s="1" t="s">
        <v>1301</v>
      </c>
      <c r="C635" s="1" t="s">
        <v>39</v>
      </c>
      <c r="D635" s="1"/>
      <c r="E635" s="1" t="s">
        <v>166</v>
      </c>
    </row>
    <row r="636" spans="1:5" x14ac:dyDescent="0.4">
      <c r="A636" s="1" t="s">
        <v>1302</v>
      </c>
      <c r="B636" s="1" t="s">
        <v>1303</v>
      </c>
      <c r="C636" s="1" t="s">
        <v>39</v>
      </c>
      <c r="D636" s="1"/>
      <c r="E636" s="1" t="s">
        <v>151</v>
      </c>
    </row>
    <row r="637" spans="1:5" x14ac:dyDescent="0.4">
      <c r="A637" s="1" t="s">
        <v>1304</v>
      </c>
      <c r="B637" s="1" t="s">
        <v>1305</v>
      </c>
      <c r="C637" s="1" t="s">
        <v>39</v>
      </c>
      <c r="D637" s="1"/>
      <c r="E637" s="1" t="s">
        <v>730</v>
      </c>
    </row>
    <row r="638" spans="1:5" x14ac:dyDescent="0.4">
      <c r="A638" s="1" t="s">
        <v>1306</v>
      </c>
      <c r="B638" s="1" t="s">
        <v>1307</v>
      </c>
      <c r="C638" s="1" t="s">
        <v>39</v>
      </c>
      <c r="D638" s="1"/>
      <c r="E638" s="1" t="s">
        <v>151</v>
      </c>
    </row>
    <row r="639" spans="1:5" x14ac:dyDescent="0.4">
      <c r="A639" s="1" t="s">
        <v>1308</v>
      </c>
      <c r="B639" s="1" t="s">
        <v>1309</v>
      </c>
      <c r="C639" s="1" t="s">
        <v>39</v>
      </c>
      <c r="D639" s="1"/>
      <c r="E639" s="1" t="s">
        <v>143</v>
      </c>
    </row>
    <row r="640" spans="1:5" x14ac:dyDescent="0.4">
      <c r="A640" s="1" t="s">
        <v>1310</v>
      </c>
      <c r="B640" s="1" t="s">
        <v>1311</v>
      </c>
      <c r="C640" s="1" t="s">
        <v>39</v>
      </c>
      <c r="D640" s="1"/>
      <c r="E640" s="1" t="s">
        <v>325</v>
      </c>
    </row>
    <row r="641" spans="1:5" x14ac:dyDescent="0.4">
      <c r="A641" s="1" t="s">
        <v>1312</v>
      </c>
      <c r="B641" s="1" t="s">
        <v>1313</v>
      </c>
      <c r="C641" s="1" t="s">
        <v>39</v>
      </c>
      <c r="D641" s="1"/>
      <c r="E641" s="1" t="s">
        <v>138</v>
      </c>
    </row>
    <row r="642" spans="1:5" x14ac:dyDescent="0.4">
      <c r="A642" s="1" t="s">
        <v>1314</v>
      </c>
      <c r="B642" s="1" t="s">
        <v>1315</v>
      </c>
      <c r="C642" s="1" t="s">
        <v>39</v>
      </c>
      <c r="D642" s="1"/>
      <c r="E642" s="1" t="s">
        <v>715</v>
      </c>
    </row>
    <row r="643" spans="1:5" x14ac:dyDescent="0.4">
      <c r="A643" s="1" t="s">
        <v>1316</v>
      </c>
      <c r="B643" s="1" t="s">
        <v>1317</v>
      </c>
      <c r="C643" s="1" t="s">
        <v>39</v>
      </c>
      <c r="D643" s="1"/>
      <c r="E643" s="1" t="s">
        <v>627</v>
      </c>
    </row>
    <row r="644" spans="1:5" x14ac:dyDescent="0.4">
      <c r="A644" s="1" t="s">
        <v>1318</v>
      </c>
      <c r="B644" s="1" t="s">
        <v>1319</v>
      </c>
      <c r="C644" s="1" t="s">
        <v>39</v>
      </c>
      <c r="D644" s="1"/>
      <c r="E644" s="1" t="s">
        <v>566</v>
      </c>
    </row>
    <row r="645" spans="1:5" x14ac:dyDescent="0.4">
      <c r="A645" s="1" t="s">
        <v>1320</v>
      </c>
      <c r="B645" s="1" t="s">
        <v>1321</v>
      </c>
      <c r="C645" s="1" t="s">
        <v>39</v>
      </c>
      <c r="D645" s="1"/>
      <c r="E645" s="1" t="s">
        <v>566</v>
      </c>
    </row>
    <row r="646" spans="1:5" x14ac:dyDescent="0.4">
      <c r="A646" s="1" t="s">
        <v>1322</v>
      </c>
      <c r="B646" s="1" t="s">
        <v>1323</v>
      </c>
      <c r="C646" s="1" t="s">
        <v>39</v>
      </c>
      <c r="D646" s="1"/>
      <c r="E646" s="1" t="s">
        <v>646</v>
      </c>
    </row>
    <row r="647" spans="1:5" x14ac:dyDescent="0.4">
      <c r="A647" s="1" t="s">
        <v>1324</v>
      </c>
      <c r="B647" s="1" t="s">
        <v>1325</v>
      </c>
      <c r="C647" s="1" t="s">
        <v>39</v>
      </c>
      <c r="D647" s="1"/>
      <c r="E647" s="1" t="s">
        <v>730</v>
      </c>
    </row>
    <row r="648" spans="1:5" x14ac:dyDescent="0.4">
      <c r="A648" s="1" t="s">
        <v>1326</v>
      </c>
      <c r="B648" s="1" t="s">
        <v>1327</v>
      </c>
      <c r="C648" s="1" t="s">
        <v>39</v>
      </c>
      <c r="D648" s="1"/>
      <c r="E648" s="1" t="s">
        <v>151</v>
      </c>
    </row>
    <row r="649" spans="1:5" x14ac:dyDescent="0.4">
      <c r="A649" s="1" t="s">
        <v>1328</v>
      </c>
      <c r="B649" s="1" t="s">
        <v>1329</v>
      </c>
      <c r="C649" s="1" t="s">
        <v>39</v>
      </c>
      <c r="D649" s="1"/>
      <c r="E649" s="1" t="s">
        <v>135</v>
      </c>
    </row>
    <row r="650" spans="1:5" x14ac:dyDescent="0.4">
      <c r="A650" s="1" t="s">
        <v>1330</v>
      </c>
      <c r="B650" s="1" t="s">
        <v>1331</v>
      </c>
      <c r="C650" s="1" t="s">
        <v>39</v>
      </c>
      <c r="D650" s="1"/>
      <c r="E650" s="1" t="s">
        <v>151</v>
      </c>
    </row>
    <row r="651" spans="1:5" x14ac:dyDescent="0.4">
      <c r="A651" s="1" t="s">
        <v>1332</v>
      </c>
      <c r="B651" s="1" t="s">
        <v>1333</v>
      </c>
      <c r="C651" s="1" t="s">
        <v>39</v>
      </c>
      <c r="D651" s="1"/>
      <c r="E651" s="1" t="s">
        <v>615</v>
      </c>
    </row>
    <row r="652" spans="1:5" x14ac:dyDescent="0.4">
      <c r="A652" s="1" t="s">
        <v>1334</v>
      </c>
      <c r="B652" s="1" t="s">
        <v>1335</v>
      </c>
      <c r="C652" s="1" t="s">
        <v>39</v>
      </c>
      <c r="D652" s="1"/>
      <c r="E652" s="1" t="s">
        <v>166</v>
      </c>
    </row>
    <row r="653" spans="1:5" x14ac:dyDescent="0.4">
      <c r="A653" s="1" t="s">
        <v>1336</v>
      </c>
      <c r="B653" s="1" t="s">
        <v>1337</v>
      </c>
      <c r="C653" s="1" t="s">
        <v>39</v>
      </c>
      <c r="D653" s="1"/>
      <c r="E653" s="1" t="s">
        <v>148</v>
      </c>
    </row>
    <row r="654" spans="1:5" x14ac:dyDescent="0.4">
      <c r="A654" s="1" t="s">
        <v>1338</v>
      </c>
      <c r="B654" s="1" t="s">
        <v>1339</v>
      </c>
      <c r="C654" s="1" t="s">
        <v>39</v>
      </c>
      <c r="D654" s="1"/>
      <c r="E654" s="1" t="s">
        <v>566</v>
      </c>
    </row>
    <row r="655" spans="1:5" x14ac:dyDescent="0.4">
      <c r="A655" s="1" t="s">
        <v>1340</v>
      </c>
      <c r="B655" s="1" t="s">
        <v>1341</v>
      </c>
      <c r="C655" s="1" t="s">
        <v>39</v>
      </c>
      <c r="D655" s="1"/>
      <c r="E655" s="1" t="s">
        <v>185</v>
      </c>
    </row>
    <row r="656" spans="1:5" x14ac:dyDescent="0.4">
      <c r="A656" s="1" t="s">
        <v>1342</v>
      </c>
      <c r="B656" s="1" t="s">
        <v>1343</v>
      </c>
      <c r="C656" s="1" t="s">
        <v>39</v>
      </c>
      <c r="D656" s="1"/>
      <c r="E656" s="1" t="s">
        <v>138</v>
      </c>
    </row>
    <row r="657" spans="1:5" x14ac:dyDescent="0.4">
      <c r="A657" s="1" t="s">
        <v>1344</v>
      </c>
      <c r="B657" s="1" t="s">
        <v>1345</v>
      </c>
      <c r="C657" s="1" t="s">
        <v>39</v>
      </c>
      <c r="D657" s="1"/>
      <c r="E657" s="1" t="s">
        <v>151</v>
      </c>
    </row>
    <row r="658" spans="1:5" x14ac:dyDescent="0.4">
      <c r="A658" s="1" t="s">
        <v>1346</v>
      </c>
      <c r="B658" s="1" t="s">
        <v>1347</v>
      </c>
      <c r="C658" s="1" t="s">
        <v>39</v>
      </c>
      <c r="D658" s="1"/>
      <c r="E658" s="1" t="s">
        <v>566</v>
      </c>
    </row>
    <row r="659" spans="1:5" x14ac:dyDescent="0.4">
      <c r="A659" s="1" t="s">
        <v>1348</v>
      </c>
      <c r="B659" s="1" t="s">
        <v>1349</v>
      </c>
      <c r="C659" s="1" t="s">
        <v>39</v>
      </c>
      <c r="D659" s="1"/>
      <c r="E659" s="1" t="s">
        <v>156</v>
      </c>
    </row>
    <row r="660" spans="1:5" x14ac:dyDescent="0.4">
      <c r="A660" s="1" t="s">
        <v>1350</v>
      </c>
      <c r="B660" s="1" t="s">
        <v>1351</v>
      </c>
      <c r="C660" s="1" t="s">
        <v>39</v>
      </c>
      <c r="D660" s="1"/>
      <c r="E660" s="1" t="s">
        <v>566</v>
      </c>
    </row>
    <row r="661" spans="1:5" x14ac:dyDescent="0.4">
      <c r="A661" s="1" t="s">
        <v>1352</v>
      </c>
      <c r="B661" s="1" t="s">
        <v>1353</v>
      </c>
      <c r="C661" s="1" t="s">
        <v>39</v>
      </c>
      <c r="D661" s="1"/>
      <c r="E661" s="1" t="s">
        <v>646</v>
      </c>
    </row>
    <row r="662" spans="1:5" x14ac:dyDescent="0.4">
      <c r="A662" s="1" t="s">
        <v>1354</v>
      </c>
      <c r="B662" s="1" t="s">
        <v>1355</v>
      </c>
      <c r="C662" s="1" t="s">
        <v>39</v>
      </c>
      <c r="D662" s="1"/>
      <c r="E662" s="1" t="s">
        <v>151</v>
      </c>
    </row>
    <row r="663" spans="1:5" x14ac:dyDescent="0.4">
      <c r="A663" s="1" t="s">
        <v>1356</v>
      </c>
      <c r="B663" s="1" t="s">
        <v>1357</v>
      </c>
      <c r="C663" s="1" t="s">
        <v>39</v>
      </c>
      <c r="D663" s="1"/>
      <c r="E663" s="1" t="s">
        <v>135</v>
      </c>
    </row>
    <row r="664" spans="1:5" x14ac:dyDescent="0.4">
      <c r="A664" s="1" t="s">
        <v>1358</v>
      </c>
      <c r="B664" s="1" t="s">
        <v>1359</v>
      </c>
      <c r="C664" s="1" t="s">
        <v>39</v>
      </c>
      <c r="D664" s="1"/>
      <c r="E664" s="1" t="s">
        <v>349</v>
      </c>
    </row>
    <row r="665" spans="1:5" x14ac:dyDescent="0.4">
      <c r="A665" s="1" t="s">
        <v>1360</v>
      </c>
      <c r="B665" s="1" t="s">
        <v>1361</v>
      </c>
      <c r="C665" s="1" t="s">
        <v>39</v>
      </c>
      <c r="D665" s="1"/>
      <c r="E665" s="1" t="s">
        <v>715</v>
      </c>
    </row>
    <row r="666" spans="1:5" x14ac:dyDescent="0.4">
      <c r="A666" s="1" t="s">
        <v>1362</v>
      </c>
      <c r="B666" s="1" t="s">
        <v>1363</v>
      </c>
      <c r="C666" s="1" t="s">
        <v>39</v>
      </c>
      <c r="D666" s="1"/>
      <c r="E666" s="1" t="s">
        <v>138</v>
      </c>
    </row>
    <row r="667" spans="1:5" x14ac:dyDescent="0.4">
      <c r="A667" s="1" t="s">
        <v>1364</v>
      </c>
      <c r="B667" s="1" t="s">
        <v>1365</v>
      </c>
      <c r="C667" s="1" t="s">
        <v>39</v>
      </c>
      <c r="D667" s="1"/>
      <c r="E667" s="1" t="s">
        <v>166</v>
      </c>
    </row>
    <row r="668" spans="1:5" x14ac:dyDescent="0.4">
      <c r="A668" s="1" t="s">
        <v>1366</v>
      </c>
      <c r="B668" s="1" t="s">
        <v>1367</v>
      </c>
      <c r="C668" s="1" t="s">
        <v>39</v>
      </c>
      <c r="D668" s="1"/>
      <c r="E668" s="1" t="s">
        <v>646</v>
      </c>
    </row>
    <row r="669" spans="1:5" x14ac:dyDescent="0.4">
      <c r="A669" s="1" t="s">
        <v>1368</v>
      </c>
      <c r="B669" s="1" t="s">
        <v>1369</v>
      </c>
      <c r="C669" s="1" t="s">
        <v>39</v>
      </c>
      <c r="D669" s="1"/>
      <c r="E669" s="1" t="s">
        <v>135</v>
      </c>
    </row>
    <row r="670" spans="1:5" x14ac:dyDescent="0.4">
      <c r="A670" s="1" t="s">
        <v>1370</v>
      </c>
      <c r="B670" s="1" t="s">
        <v>1371</v>
      </c>
      <c r="C670" s="1" t="s">
        <v>39</v>
      </c>
      <c r="D670" s="1"/>
      <c r="E670" s="1" t="s">
        <v>156</v>
      </c>
    </row>
    <row r="671" spans="1:5" x14ac:dyDescent="0.4">
      <c r="A671" s="1" t="s">
        <v>1372</v>
      </c>
      <c r="B671" s="1" t="s">
        <v>1373</v>
      </c>
      <c r="C671" s="1" t="s">
        <v>39</v>
      </c>
      <c r="D671" s="1"/>
      <c r="E671" s="1" t="s">
        <v>151</v>
      </c>
    </row>
    <row r="672" spans="1:5" x14ac:dyDescent="0.4">
      <c r="A672" s="1" t="s">
        <v>1374</v>
      </c>
      <c r="B672" s="1" t="s">
        <v>1375</v>
      </c>
      <c r="C672" s="1" t="s">
        <v>39</v>
      </c>
      <c r="D672" s="1"/>
      <c r="E672" s="1" t="s">
        <v>148</v>
      </c>
    </row>
    <row r="673" spans="1:5" x14ac:dyDescent="0.4">
      <c r="A673" s="1" t="s">
        <v>1376</v>
      </c>
      <c r="B673" s="1" t="s">
        <v>1377</v>
      </c>
      <c r="C673" s="1" t="s">
        <v>39</v>
      </c>
      <c r="D673" s="1"/>
      <c r="E673" s="1" t="s">
        <v>566</v>
      </c>
    </row>
    <row r="674" spans="1:5" x14ac:dyDescent="0.4">
      <c r="A674" s="1" t="s">
        <v>1378</v>
      </c>
      <c r="B674" s="1" t="s">
        <v>1379</v>
      </c>
      <c r="C674" s="1" t="s">
        <v>39</v>
      </c>
      <c r="D674" s="1"/>
      <c r="E674" s="1" t="s">
        <v>204</v>
      </c>
    </row>
    <row r="675" spans="1:5" x14ac:dyDescent="0.4">
      <c r="A675" s="1" t="s">
        <v>1380</v>
      </c>
      <c r="B675" s="1" t="s">
        <v>1381</v>
      </c>
      <c r="C675" s="1" t="s">
        <v>39</v>
      </c>
      <c r="D675" s="1"/>
      <c r="E675" s="1" t="s">
        <v>151</v>
      </c>
    </row>
    <row r="676" spans="1:5" x14ac:dyDescent="0.4">
      <c r="A676" s="1" t="s">
        <v>1382</v>
      </c>
      <c r="B676" s="1" t="s">
        <v>1383</v>
      </c>
      <c r="C676" s="1" t="s">
        <v>39</v>
      </c>
      <c r="D676" s="1"/>
      <c r="E676" s="1" t="s">
        <v>615</v>
      </c>
    </row>
    <row r="677" spans="1:5" x14ac:dyDescent="0.4">
      <c r="A677" s="1" t="s">
        <v>1384</v>
      </c>
      <c r="B677" s="1" t="s">
        <v>1385</v>
      </c>
      <c r="C677" s="1" t="s">
        <v>39</v>
      </c>
      <c r="D677" s="1"/>
      <c r="E677" s="1" t="s">
        <v>166</v>
      </c>
    </row>
    <row r="678" spans="1:5" x14ac:dyDescent="0.4">
      <c r="A678" s="1" t="s">
        <v>1386</v>
      </c>
      <c r="B678" s="1" t="s">
        <v>1387</v>
      </c>
      <c r="C678" s="1" t="s">
        <v>39</v>
      </c>
      <c r="D678" s="1"/>
      <c r="E678" s="1" t="s">
        <v>185</v>
      </c>
    </row>
    <row r="679" spans="1:5" x14ac:dyDescent="0.4">
      <c r="A679" s="1" t="s">
        <v>1388</v>
      </c>
      <c r="B679" s="1" t="s">
        <v>1389</v>
      </c>
      <c r="C679" s="1" t="s">
        <v>39</v>
      </c>
      <c r="D679" s="1"/>
      <c r="E679" s="1" t="s">
        <v>166</v>
      </c>
    </row>
    <row r="680" spans="1:5" x14ac:dyDescent="0.4">
      <c r="A680" s="1" t="s">
        <v>1390</v>
      </c>
      <c r="B680" s="1" t="s">
        <v>1391</v>
      </c>
      <c r="C680" s="1" t="s">
        <v>39</v>
      </c>
      <c r="D680" s="1"/>
      <c r="E680" s="1" t="s">
        <v>185</v>
      </c>
    </row>
    <row r="681" spans="1:5" x14ac:dyDescent="0.4">
      <c r="A681" s="1" t="s">
        <v>1392</v>
      </c>
      <c r="B681" s="1" t="s">
        <v>1393</v>
      </c>
      <c r="C681" s="1" t="s">
        <v>39</v>
      </c>
      <c r="D681" s="1"/>
      <c r="E681" s="1" t="s">
        <v>624</v>
      </c>
    </row>
    <row r="682" spans="1:5" x14ac:dyDescent="0.4">
      <c r="A682" s="1" t="s">
        <v>1394</v>
      </c>
      <c r="B682" s="1" t="s">
        <v>1395</v>
      </c>
      <c r="C682" s="1" t="s">
        <v>39</v>
      </c>
      <c r="D682" s="1"/>
      <c r="E682" s="1" t="s">
        <v>148</v>
      </c>
    </row>
    <row r="683" spans="1:5" x14ac:dyDescent="0.4">
      <c r="A683" s="1" t="s">
        <v>1396</v>
      </c>
      <c r="B683" s="1" t="s">
        <v>1397</v>
      </c>
      <c r="C683" s="1" t="s">
        <v>39</v>
      </c>
      <c r="D683" s="1"/>
      <c r="E683" s="1" t="s">
        <v>135</v>
      </c>
    </row>
    <row r="684" spans="1:5" x14ac:dyDescent="0.4">
      <c r="A684" s="1" t="s">
        <v>1398</v>
      </c>
      <c r="B684" s="1" t="s">
        <v>1399</v>
      </c>
      <c r="C684" s="1" t="s">
        <v>39</v>
      </c>
      <c r="D684" s="1"/>
      <c r="E684" s="1" t="s">
        <v>156</v>
      </c>
    </row>
    <row r="685" spans="1:5" x14ac:dyDescent="0.4">
      <c r="A685" s="1" t="s">
        <v>1400</v>
      </c>
      <c r="B685" s="1" t="s">
        <v>1401</v>
      </c>
      <c r="C685" s="1" t="s">
        <v>39</v>
      </c>
      <c r="D685" s="1"/>
      <c r="E685" s="1" t="s">
        <v>130</v>
      </c>
    </row>
    <row r="686" spans="1:5" x14ac:dyDescent="0.4">
      <c r="A686" s="1" t="s">
        <v>1402</v>
      </c>
      <c r="B686" s="1" t="s">
        <v>1403</v>
      </c>
      <c r="C686" s="1" t="s">
        <v>39</v>
      </c>
      <c r="D686" s="1"/>
      <c r="E686" s="1" t="s">
        <v>185</v>
      </c>
    </row>
    <row r="687" spans="1:5" x14ac:dyDescent="0.4">
      <c r="A687" s="1" t="s">
        <v>1404</v>
      </c>
      <c r="B687" s="1" t="s">
        <v>1405</v>
      </c>
      <c r="C687" s="1" t="s">
        <v>39</v>
      </c>
      <c r="D687" s="1"/>
      <c r="E687" s="1" t="s">
        <v>135</v>
      </c>
    </row>
    <row r="688" spans="1:5" x14ac:dyDescent="0.4">
      <c r="A688" s="1" t="s">
        <v>1406</v>
      </c>
      <c r="B688" s="1" t="s">
        <v>1407</v>
      </c>
      <c r="C688" s="1" t="s">
        <v>39</v>
      </c>
      <c r="D688" s="1"/>
      <c r="E688" s="1" t="s">
        <v>148</v>
      </c>
    </row>
    <row r="689" spans="1:5" x14ac:dyDescent="0.4">
      <c r="A689" s="1" t="s">
        <v>1408</v>
      </c>
      <c r="B689" s="1" t="s">
        <v>1409</v>
      </c>
      <c r="C689" s="1" t="s">
        <v>39</v>
      </c>
      <c r="D689" s="1"/>
      <c r="E689" s="1" t="s">
        <v>566</v>
      </c>
    </row>
    <row r="690" spans="1:5" x14ac:dyDescent="0.4">
      <c r="A690" s="1" t="s">
        <v>1410</v>
      </c>
      <c r="B690" s="1" t="s">
        <v>1411</v>
      </c>
      <c r="C690" s="1" t="s">
        <v>39</v>
      </c>
      <c r="D690" s="1"/>
      <c r="E690" s="1" t="s">
        <v>349</v>
      </c>
    </row>
    <row r="691" spans="1:5" x14ac:dyDescent="0.4">
      <c r="A691" s="1" t="s">
        <v>1412</v>
      </c>
      <c r="B691" s="1" t="s">
        <v>1413</v>
      </c>
      <c r="C691" s="1" t="s">
        <v>39</v>
      </c>
      <c r="D691" s="1"/>
      <c r="E691" s="1" t="s">
        <v>151</v>
      </c>
    </row>
    <row r="692" spans="1:5" x14ac:dyDescent="0.4">
      <c r="A692" s="1" t="s">
        <v>1414</v>
      </c>
      <c r="B692" s="1" t="s">
        <v>1415</v>
      </c>
      <c r="C692" s="1" t="s">
        <v>39</v>
      </c>
      <c r="D692" s="1"/>
      <c r="E692" s="1" t="s">
        <v>627</v>
      </c>
    </row>
    <row r="693" spans="1:5" x14ac:dyDescent="0.4">
      <c r="A693" s="1" t="s">
        <v>1416</v>
      </c>
      <c r="B693" s="1" t="s">
        <v>1417</v>
      </c>
      <c r="C693" s="1" t="s">
        <v>39</v>
      </c>
      <c r="D693" s="1"/>
      <c r="E693" s="1" t="s">
        <v>166</v>
      </c>
    </row>
    <row r="694" spans="1:5" x14ac:dyDescent="0.4">
      <c r="A694" s="1" t="s">
        <v>1418</v>
      </c>
      <c r="B694" s="1" t="s">
        <v>1419</v>
      </c>
      <c r="C694" s="1" t="s">
        <v>39</v>
      </c>
      <c r="D694" s="1"/>
      <c r="E694" s="1" t="s">
        <v>325</v>
      </c>
    </row>
    <row r="695" spans="1:5" x14ac:dyDescent="0.4">
      <c r="A695" s="1" t="s">
        <v>1420</v>
      </c>
      <c r="B695" s="1" t="s">
        <v>1421</v>
      </c>
      <c r="C695" s="1" t="s">
        <v>39</v>
      </c>
      <c r="D695" s="1"/>
      <c r="E695" s="1" t="s">
        <v>151</v>
      </c>
    </row>
    <row r="696" spans="1:5" x14ac:dyDescent="0.4">
      <c r="A696" s="1" t="s">
        <v>1422</v>
      </c>
      <c r="B696" s="1" t="s">
        <v>1423</v>
      </c>
      <c r="C696" s="1" t="s">
        <v>39</v>
      </c>
      <c r="D696" s="1"/>
      <c r="E696" s="1" t="s">
        <v>646</v>
      </c>
    </row>
    <row r="697" spans="1:5" x14ac:dyDescent="0.4">
      <c r="A697" s="1" t="s">
        <v>1424</v>
      </c>
      <c r="B697" s="1" t="s">
        <v>1425</v>
      </c>
      <c r="C697" s="1" t="s">
        <v>39</v>
      </c>
      <c r="D697" s="1"/>
      <c r="E697" s="1" t="s">
        <v>185</v>
      </c>
    </row>
    <row r="698" spans="1:5" x14ac:dyDescent="0.4">
      <c r="A698" s="1" t="s">
        <v>1426</v>
      </c>
      <c r="B698" s="1" t="s">
        <v>1427</v>
      </c>
      <c r="C698" s="1" t="s">
        <v>39</v>
      </c>
      <c r="D698" s="1"/>
      <c r="E698" s="1" t="s">
        <v>135</v>
      </c>
    </row>
    <row r="699" spans="1:5" x14ac:dyDescent="0.4">
      <c r="A699" s="1" t="s">
        <v>1428</v>
      </c>
      <c r="B699" s="1" t="s">
        <v>1429</v>
      </c>
      <c r="C699" s="1" t="s">
        <v>39</v>
      </c>
      <c r="D699" s="1"/>
      <c r="E699" s="1" t="s">
        <v>151</v>
      </c>
    </row>
    <row r="700" spans="1:5" x14ac:dyDescent="0.4">
      <c r="A700" s="1" t="s">
        <v>1430</v>
      </c>
      <c r="B700" s="1" t="s">
        <v>1431</v>
      </c>
      <c r="C700" s="1" t="s">
        <v>39</v>
      </c>
      <c r="D700" s="1"/>
      <c r="E700" s="1" t="s">
        <v>566</v>
      </c>
    </row>
    <row r="701" spans="1:5" x14ac:dyDescent="0.4">
      <c r="A701" s="1" t="s">
        <v>1432</v>
      </c>
      <c r="B701" s="1" t="s">
        <v>1433</v>
      </c>
      <c r="C701" s="1" t="s">
        <v>39</v>
      </c>
      <c r="D701" s="1"/>
      <c r="E701" s="1" t="s">
        <v>1434</v>
      </c>
    </row>
    <row r="702" spans="1:5" x14ac:dyDescent="0.4">
      <c r="A702" s="1" t="s">
        <v>1435</v>
      </c>
      <c r="B702" s="1" t="s">
        <v>1436</v>
      </c>
      <c r="C702" s="1" t="s">
        <v>39</v>
      </c>
      <c r="D702" s="1"/>
      <c r="E702" s="1" t="s">
        <v>156</v>
      </c>
    </row>
    <row r="703" spans="1:5" x14ac:dyDescent="0.4">
      <c r="A703" s="1" t="s">
        <v>1437</v>
      </c>
      <c r="B703" s="1" t="s">
        <v>1438</v>
      </c>
      <c r="C703" s="1" t="s">
        <v>39</v>
      </c>
      <c r="D703" s="1"/>
      <c r="E703" s="1" t="s">
        <v>18</v>
      </c>
    </row>
    <row r="704" spans="1:5" x14ac:dyDescent="0.4">
      <c r="A704" s="1" t="s">
        <v>1439</v>
      </c>
      <c r="B704" s="1" t="s">
        <v>1440</v>
      </c>
      <c r="C704" s="1" t="s">
        <v>39</v>
      </c>
      <c r="D704" s="1"/>
      <c r="E704" s="1" t="s">
        <v>135</v>
      </c>
    </row>
    <row r="705" spans="1:5" x14ac:dyDescent="0.4">
      <c r="A705" s="1" t="s">
        <v>1441</v>
      </c>
      <c r="B705" s="1" t="s">
        <v>1442</v>
      </c>
      <c r="C705" s="1" t="s">
        <v>39</v>
      </c>
      <c r="D705" s="1"/>
      <c r="E705" s="1" t="s">
        <v>148</v>
      </c>
    </row>
    <row r="706" spans="1:5" x14ac:dyDescent="0.4">
      <c r="A706" s="1" t="s">
        <v>1443</v>
      </c>
      <c r="B706" s="1" t="s">
        <v>1444</v>
      </c>
      <c r="C706" s="1" t="s">
        <v>39</v>
      </c>
      <c r="D706" s="1"/>
      <c r="E706" s="1" t="s">
        <v>135</v>
      </c>
    </row>
    <row r="707" spans="1:5" x14ac:dyDescent="0.4">
      <c r="A707" s="1" t="s">
        <v>1445</v>
      </c>
      <c r="B707" s="1" t="s">
        <v>1446</v>
      </c>
      <c r="C707" s="1" t="s">
        <v>39</v>
      </c>
      <c r="D707" s="1"/>
      <c r="E707" s="1" t="s">
        <v>143</v>
      </c>
    </row>
    <row r="708" spans="1:5" x14ac:dyDescent="0.4">
      <c r="A708" s="1" t="s">
        <v>1447</v>
      </c>
      <c r="B708" s="1" t="s">
        <v>1448</v>
      </c>
      <c r="C708" s="1" t="s">
        <v>39</v>
      </c>
      <c r="D708" s="1"/>
      <c r="E708" s="1" t="s">
        <v>185</v>
      </c>
    </row>
    <row r="709" spans="1:5" x14ac:dyDescent="0.4">
      <c r="A709" s="1" t="s">
        <v>1449</v>
      </c>
      <c r="B709" s="1" t="s">
        <v>1450</v>
      </c>
      <c r="C709" s="1" t="s">
        <v>39</v>
      </c>
      <c r="D709" s="1"/>
      <c r="E709" s="1" t="s">
        <v>135</v>
      </c>
    </row>
    <row r="710" spans="1:5" x14ac:dyDescent="0.4">
      <c r="A710" s="1" t="s">
        <v>1451</v>
      </c>
      <c r="B710" s="1" t="s">
        <v>1452</v>
      </c>
      <c r="C710" s="1" t="s">
        <v>39</v>
      </c>
      <c r="D710" s="1"/>
      <c r="E710" s="1" t="s">
        <v>1453</v>
      </c>
    </row>
    <row r="711" spans="1:5" x14ac:dyDescent="0.4">
      <c r="A711" s="1" t="s">
        <v>1454</v>
      </c>
      <c r="B711" s="1" t="s">
        <v>1455</v>
      </c>
      <c r="C711" s="1" t="s">
        <v>39</v>
      </c>
      <c r="D711" s="1"/>
      <c r="E711" s="1" t="s">
        <v>156</v>
      </c>
    </row>
    <row r="712" spans="1:5" x14ac:dyDescent="0.4">
      <c r="A712" s="1" t="s">
        <v>1456</v>
      </c>
      <c r="B712" s="1" t="s">
        <v>1457</v>
      </c>
      <c r="C712" s="1" t="s">
        <v>39</v>
      </c>
      <c r="D712" s="1"/>
      <c r="E712" s="1" t="s">
        <v>715</v>
      </c>
    </row>
    <row r="713" spans="1:5" x14ac:dyDescent="0.4">
      <c r="A713" s="1" t="s">
        <v>1458</v>
      </c>
      <c r="B713" s="1" t="s">
        <v>1459</v>
      </c>
      <c r="C713" s="1" t="s">
        <v>39</v>
      </c>
      <c r="D713" s="1"/>
      <c r="E713" s="1" t="s">
        <v>615</v>
      </c>
    </row>
    <row r="714" spans="1:5" x14ac:dyDescent="0.4">
      <c r="A714" s="1" t="s">
        <v>1460</v>
      </c>
      <c r="B714" s="1" t="s">
        <v>1461</v>
      </c>
      <c r="C714" s="1" t="s">
        <v>39</v>
      </c>
      <c r="D714" s="1"/>
      <c r="E714" s="1" t="s">
        <v>349</v>
      </c>
    </row>
    <row r="715" spans="1:5" x14ac:dyDescent="0.4">
      <c r="A715" s="1" t="s">
        <v>1462</v>
      </c>
      <c r="B715" s="1" t="s">
        <v>1463</v>
      </c>
      <c r="C715" s="1" t="s">
        <v>39</v>
      </c>
      <c r="D715" s="1"/>
      <c r="E715" s="1" t="s">
        <v>615</v>
      </c>
    </row>
    <row r="716" spans="1:5" x14ac:dyDescent="0.4">
      <c r="A716" s="1" t="s">
        <v>1464</v>
      </c>
      <c r="B716" s="1" t="s">
        <v>1465</v>
      </c>
      <c r="C716" s="1" t="s">
        <v>39</v>
      </c>
      <c r="D716" s="1"/>
      <c r="E716" s="1" t="s">
        <v>161</v>
      </c>
    </row>
    <row r="717" spans="1:5" x14ac:dyDescent="0.4">
      <c r="A717" s="1" t="s">
        <v>1466</v>
      </c>
      <c r="B717" s="1" t="s">
        <v>1467</v>
      </c>
      <c r="C717" s="1" t="s">
        <v>39</v>
      </c>
      <c r="D717" s="1"/>
      <c r="E717" s="1" t="s">
        <v>646</v>
      </c>
    </row>
    <row r="718" spans="1:5" x14ac:dyDescent="0.4">
      <c r="A718" s="1" t="s">
        <v>1468</v>
      </c>
      <c r="B718" s="1" t="s">
        <v>1469</v>
      </c>
      <c r="C718" s="1" t="s">
        <v>39</v>
      </c>
      <c r="D718" s="1"/>
      <c r="E718" s="1" t="s">
        <v>166</v>
      </c>
    </row>
    <row r="719" spans="1:5" x14ac:dyDescent="0.4">
      <c r="A719" s="1" t="s">
        <v>1470</v>
      </c>
      <c r="B719" s="1" t="s">
        <v>1471</v>
      </c>
      <c r="C719" s="1" t="s">
        <v>39</v>
      </c>
      <c r="D719" s="1"/>
      <c r="E719" s="1" t="s">
        <v>156</v>
      </c>
    </row>
    <row r="720" spans="1:5" x14ac:dyDescent="0.4">
      <c r="A720" s="1" t="s">
        <v>1472</v>
      </c>
      <c r="B720" s="1" t="s">
        <v>1473</v>
      </c>
      <c r="C720" s="1" t="s">
        <v>39</v>
      </c>
      <c r="D720" s="1"/>
      <c r="E720" s="1" t="s">
        <v>615</v>
      </c>
    </row>
    <row r="721" spans="1:5" x14ac:dyDescent="0.4">
      <c r="A721" s="1" t="s">
        <v>1474</v>
      </c>
      <c r="B721" s="1" t="s">
        <v>1475</v>
      </c>
      <c r="C721" s="1" t="s">
        <v>39</v>
      </c>
      <c r="D721" s="1"/>
      <c r="E721" s="1" t="s">
        <v>138</v>
      </c>
    </row>
    <row r="722" spans="1:5" x14ac:dyDescent="0.4">
      <c r="A722" s="1" t="s">
        <v>1476</v>
      </c>
      <c r="B722" s="1" t="s">
        <v>1477</v>
      </c>
      <c r="C722" s="1" t="s">
        <v>39</v>
      </c>
      <c r="D722" s="1"/>
      <c r="E722" s="1" t="s">
        <v>349</v>
      </c>
    </row>
    <row r="723" spans="1:5" x14ac:dyDescent="0.4">
      <c r="A723" s="1" t="s">
        <v>1478</v>
      </c>
      <c r="B723" s="1" t="s">
        <v>1479</v>
      </c>
      <c r="C723" s="1" t="s">
        <v>39</v>
      </c>
      <c r="D723" s="1"/>
      <c r="E723" s="1" t="s">
        <v>143</v>
      </c>
    </row>
    <row r="724" spans="1:5" x14ac:dyDescent="0.4">
      <c r="A724" s="1" t="s">
        <v>1480</v>
      </c>
      <c r="B724" s="1" t="s">
        <v>1481</v>
      </c>
      <c r="C724" s="1" t="s">
        <v>39</v>
      </c>
      <c r="D724" s="1"/>
      <c r="E724" s="1" t="s">
        <v>151</v>
      </c>
    </row>
    <row r="725" spans="1:5" x14ac:dyDescent="0.4">
      <c r="A725" s="1" t="s">
        <v>1482</v>
      </c>
      <c r="B725" s="1" t="s">
        <v>1483</v>
      </c>
      <c r="C725" s="1" t="s">
        <v>39</v>
      </c>
      <c r="D725" s="1"/>
      <c r="E725" s="1" t="s">
        <v>185</v>
      </c>
    </row>
    <row r="726" spans="1:5" x14ac:dyDescent="0.4">
      <c r="A726" s="1" t="s">
        <v>1484</v>
      </c>
      <c r="B726" s="1" t="s">
        <v>1485</v>
      </c>
      <c r="C726" s="1" t="s">
        <v>39</v>
      </c>
      <c r="D726" s="1"/>
      <c r="E726" s="1" t="s">
        <v>18</v>
      </c>
    </row>
    <row r="727" spans="1:5" x14ac:dyDescent="0.4">
      <c r="A727" s="1" t="s">
        <v>1486</v>
      </c>
      <c r="B727" s="1" t="s">
        <v>1487</v>
      </c>
      <c r="C727" s="1" t="s">
        <v>39</v>
      </c>
      <c r="D727" s="1"/>
      <c r="E727" s="1" t="s">
        <v>566</v>
      </c>
    </row>
    <row r="728" spans="1:5" x14ac:dyDescent="0.4">
      <c r="A728" s="1" t="s">
        <v>1488</v>
      </c>
      <c r="B728" s="1" t="s">
        <v>1489</v>
      </c>
      <c r="C728" s="1" t="s">
        <v>39</v>
      </c>
      <c r="D728" s="1"/>
      <c r="E728" s="1" t="s">
        <v>148</v>
      </c>
    </row>
    <row r="729" spans="1:5" x14ac:dyDescent="0.4">
      <c r="A729" s="1" t="s">
        <v>1490</v>
      </c>
      <c r="B729" s="1" t="s">
        <v>1491</v>
      </c>
      <c r="C729" s="1" t="s">
        <v>39</v>
      </c>
      <c r="D729" s="1"/>
      <c r="E729" s="1" t="s">
        <v>349</v>
      </c>
    </row>
    <row r="730" spans="1:5" x14ac:dyDescent="0.4">
      <c r="A730" s="1" t="s">
        <v>1492</v>
      </c>
      <c r="B730" s="1" t="s">
        <v>1493</v>
      </c>
      <c r="C730" s="1" t="s">
        <v>39</v>
      </c>
      <c r="D730" s="1"/>
      <c r="E730" s="1" t="s">
        <v>566</v>
      </c>
    </row>
    <row r="731" spans="1:5" x14ac:dyDescent="0.4">
      <c r="A731" s="1" t="s">
        <v>1494</v>
      </c>
      <c r="B731" s="1" t="s">
        <v>1495</v>
      </c>
      <c r="C731" s="1" t="s">
        <v>39</v>
      </c>
      <c r="D731" s="1"/>
      <c r="E731" s="1" t="s">
        <v>135</v>
      </c>
    </row>
    <row r="732" spans="1:5" x14ac:dyDescent="0.4">
      <c r="A732" s="1" t="s">
        <v>1496</v>
      </c>
      <c r="B732" s="1" t="s">
        <v>1497</v>
      </c>
      <c r="C732" s="1" t="s">
        <v>39</v>
      </c>
      <c r="D732" s="1"/>
      <c r="E732" s="1" t="s">
        <v>156</v>
      </c>
    </row>
    <row r="733" spans="1:5" x14ac:dyDescent="0.4">
      <c r="A733" s="1" t="s">
        <v>1498</v>
      </c>
      <c r="B733" s="1" t="s">
        <v>1499</v>
      </c>
      <c r="C733" s="1" t="s">
        <v>39</v>
      </c>
      <c r="D733" s="1"/>
      <c r="E733" s="1" t="s">
        <v>646</v>
      </c>
    </row>
    <row r="734" spans="1:5" x14ac:dyDescent="0.4">
      <c r="A734" s="1" t="s">
        <v>1500</v>
      </c>
      <c r="B734" s="1" t="s">
        <v>1501</v>
      </c>
      <c r="C734" s="1" t="s">
        <v>39</v>
      </c>
      <c r="D734" s="1"/>
      <c r="E734" s="1" t="s">
        <v>135</v>
      </c>
    </row>
    <row r="735" spans="1:5" x14ac:dyDescent="0.4">
      <c r="A735" s="1" t="s">
        <v>1502</v>
      </c>
      <c r="B735" s="1" t="s">
        <v>1503</v>
      </c>
      <c r="C735" s="1" t="s">
        <v>39</v>
      </c>
      <c r="D735" s="1"/>
      <c r="E735" s="1" t="s">
        <v>151</v>
      </c>
    </row>
    <row r="736" spans="1:5" x14ac:dyDescent="0.4">
      <c r="A736" s="1" t="s">
        <v>1504</v>
      </c>
      <c r="B736" s="1" t="s">
        <v>1505</v>
      </c>
      <c r="C736" s="1" t="s">
        <v>39</v>
      </c>
      <c r="D736" s="1"/>
      <c r="E736" s="1" t="s">
        <v>138</v>
      </c>
    </row>
    <row r="737" spans="1:5" x14ac:dyDescent="0.4">
      <c r="A737" s="1" t="s">
        <v>1506</v>
      </c>
      <c r="B737" s="1" t="s">
        <v>1507</v>
      </c>
      <c r="C737" s="1" t="s">
        <v>39</v>
      </c>
      <c r="D737" s="1"/>
      <c r="E737" s="1" t="s">
        <v>143</v>
      </c>
    </row>
    <row r="738" spans="1:5" x14ac:dyDescent="0.4">
      <c r="A738" s="1" t="s">
        <v>1508</v>
      </c>
      <c r="B738" s="1" t="s">
        <v>1509</v>
      </c>
      <c r="C738" s="1" t="s">
        <v>39</v>
      </c>
      <c r="D738" s="1"/>
      <c r="E738" s="1" t="s">
        <v>646</v>
      </c>
    </row>
    <row r="739" spans="1:5" x14ac:dyDescent="0.4">
      <c r="A739" s="1" t="s">
        <v>1510</v>
      </c>
      <c r="B739" s="1" t="s">
        <v>1511</v>
      </c>
      <c r="C739" s="1" t="s">
        <v>39</v>
      </c>
      <c r="D739" s="1"/>
      <c r="E739" s="1" t="s">
        <v>566</v>
      </c>
    </row>
    <row r="740" spans="1:5" x14ac:dyDescent="0.4">
      <c r="A740" s="1" t="s">
        <v>1512</v>
      </c>
      <c r="B740" s="1" t="s">
        <v>1513</v>
      </c>
      <c r="C740" s="1" t="s">
        <v>39</v>
      </c>
      <c r="D740" s="1"/>
      <c r="E740" s="1" t="s">
        <v>135</v>
      </c>
    </row>
    <row r="741" spans="1:5" x14ac:dyDescent="0.4">
      <c r="A741" s="1" t="s">
        <v>1514</v>
      </c>
      <c r="B741" s="1" t="s">
        <v>1515</v>
      </c>
      <c r="C741" s="1" t="s">
        <v>39</v>
      </c>
      <c r="D741" s="1"/>
      <c r="E741" s="1" t="s">
        <v>627</v>
      </c>
    </row>
    <row r="742" spans="1:5" x14ac:dyDescent="0.4">
      <c r="A742" s="1" t="s">
        <v>1516</v>
      </c>
      <c r="B742" s="1" t="s">
        <v>1517</v>
      </c>
      <c r="C742" s="1" t="s">
        <v>39</v>
      </c>
      <c r="D742" s="1"/>
      <c r="E742" s="1" t="s">
        <v>185</v>
      </c>
    </row>
    <row r="743" spans="1:5" x14ac:dyDescent="0.4">
      <c r="A743" s="1" t="s">
        <v>1518</v>
      </c>
      <c r="B743" s="1" t="s">
        <v>1519</v>
      </c>
      <c r="C743" s="1" t="s">
        <v>39</v>
      </c>
      <c r="D743" s="1"/>
      <c r="E743" s="1" t="s">
        <v>151</v>
      </c>
    </row>
    <row r="744" spans="1:5" x14ac:dyDescent="0.4">
      <c r="A744" s="1" t="s">
        <v>1520</v>
      </c>
      <c r="B744" s="1" t="s">
        <v>1521</v>
      </c>
      <c r="C744" s="1" t="s">
        <v>39</v>
      </c>
      <c r="D744" s="1"/>
      <c r="E744" s="1" t="s">
        <v>1434</v>
      </c>
    </row>
    <row r="745" spans="1:5" x14ac:dyDescent="0.4">
      <c r="A745" s="1" t="s">
        <v>1522</v>
      </c>
      <c r="B745" s="1" t="s">
        <v>1523</v>
      </c>
      <c r="C745" s="1" t="s">
        <v>39</v>
      </c>
      <c r="D745" s="1"/>
      <c r="E745" s="1" t="s">
        <v>624</v>
      </c>
    </row>
    <row r="746" spans="1:5" x14ac:dyDescent="0.4">
      <c r="A746" s="1" t="s">
        <v>1524</v>
      </c>
      <c r="B746" s="1" t="s">
        <v>1525</v>
      </c>
      <c r="C746" s="1" t="s">
        <v>39</v>
      </c>
      <c r="D746" s="1"/>
      <c r="E746" s="1" t="s">
        <v>615</v>
      </c>
    </row>
    <row r="747" spans="1:5" x14ac:dyDescent="0.4">
      <c r="A747" s="1" t="s">
        <v>1526</v>
      </c>
      <c r="B747" s="1" t="s">
        <v>1527</v>
      </c>
      <c r="C747" s="1" t="s">
        <v>39</v>
      </c>
      <c r="D747" s="1"/>
      <c r="E747" s="1" t="s">
        <v>138</v>
      </c>
    </row>
    <row r="748" spans="1:5" x14ac:dyDescent="0.4">
      <c r="A748" s="1" t="s">
        <v>1528</v>
      </c>
      <c r="B748" s="1" t="s">
        <v>1529</v>
      </c>
      <c r="C748" s="1" t="s">
        <v>39</v>
      </c>
      <c r="D748" s="1"/>
      <c r="E748" s="1" t="s">
        <v>166</v>
      </c>
    </row>
    <row r="749" spans="1:5" x14ac:dyDescent="0.4">
      <c r="A749" s="1" t="s">
        <v>1530</v>
      </c>
      <c r="B749" s="1" t="s">
        <v>1531</v>
      </c>
      <c r="C749" s="1" t="s">
        <v>39</v>
      </c>
      <c r="D749" s="1"/>
      <c r="E749" s="1" t="s">
        <v>130</v>
      </c>
    </row>
    <row r="750" spans="1:5" x14ac:dyDescent="0.4">
      <c r="A750" s="1" t="s">
        <v>1532</v>
      </c>
      <c r="B750" s="1" t="s">
        <v>1533</v>
      </c>
      <c r="C750" s="1" t="s">
        <v>39</v>
      </c>
      <c r="D750" s="1"/>
      <c r="E750" s="1" t="s">
        <v>566</v>
      </c>
    </row>
    <row r="751" spans="1:5" x14ac:dyDescent="0.4">
      <c r="A751" s="1" t="s">
        <v>1534</v>
      </c>
      <c r="B751" s="1" t="s">
        <v>1535</v>
      </c>
      <c r="C751" s="1" t="s">
        <v>39</v>
      </c>
      <c r="D751" s="1"/>
      <c r="E751" s="1" t="s">
        <v>151</v>
      </c>
    </row>
    <row r="752" spans="1:5" x14ac:dyDescent="0.4">
      <c r="A752" s="1" t="s">
        <v>1536</v>
      </c>
      <c r="B752" s="1" t="s">
        <v>1537</v>
      </c>
      <c r="C752" s="1" t="s">
        <v>39</v>
      </c>
      <c r="D752" s="1"/>
      <c r="E752" s="1" t="s">
        <v>166</v>
      </c>
    </row>
    <row r="753" spans="1:5" x14ac:dyDescent="0.4">
      <c r="A753" s="1" t="s">
        <v>1538</v>
      </c>
      <c r="B753" s="1" t="s">
        <v>1539</v>
      </c>
      <c r="C753" s="1" t="s">
        <v>39</v>
      </c>
      <c r="D753" s="1"/>
      <c r="E753" s="1" t="s">
        <v>349</v>
      </c>
    </row>
    <row r="754" spans="1:5" x14ac:dyDescent="0.4">
      <c r="A754" s="1" t="s">
        <v>1540</v>
      </c>
      <c r="B754" s="1" t="s">
        <v>1541</v>
      </c>
      <c r="C754" s="1" t="s">
        <v>39</v>
      </c>
      <c r="D754" s="1"/>
      <c r="E754" s="1" t="s">
        <v>138</v>
      </c>
    </row>
    <row r="755" spans="1:5" x14ac:dyDescent="0.4">
      <c r="A755" s="1" t="s">
        <v>1542</v>
      </c>
      <c r="B755" s="1" t="s">
        <v>1543</v>
      </c>
      <c r="C755" s="1" t="s">
        <v>39</v>
      </c>
      <c r="D755" s="1"/>
      <c r="E755" s="1" t="s">
        <v>148</v>
      </c>
    </row>
    <row r="756" spans="1:5" x14ac:dyDescent="0.4">
      <c r="A756" s="1" t="s">
        <v>1544</v>
      </c>
      <c r="B756" s="1" t="s">
        <v>1545</v>
      </c>
      <c r="C756" s="1" t="s">
        <v>39</v>
      </c>
      <c r="D756" s="1"/>
      <c r="E756" s="1" t="s">
        <v>646</v>
      </c>
    </row>
    <row r="757" spans="1:5" x14ac:dyDescent="0.4">
      <c r="A757" s="1" t="s">
        <v>1546</v>
      </c>
      <c r="B757" s="1" t="s">
        <v>1547</v>
      </c>
      <c r="C757" s="1" t="s">
        <v>39</v>
      </c>
      <c r="D757" s="1"/>
      <c r="E757" s="1" t="s">
        <v>627</v>
      </c>
    </row>
    <row r="758" spans="1:5" x14ac:dyDescent="0.4">
      <c r="A758" s="1" t="s">
        <v>1548</v>
      </c>
      <c r="B758" s="1" t="s">
        <v>1549</v>
      </c>
      <c r="C758" s="1" t="s">
        <v>39</v>
      </c>
      <c r="D758" s="1"/>
      <c r="E758" s="1" t="s">
        <v>156</v>
      </c>
    </row>
    <row r="759" spans="1:5" x14ac:dyDescent="0.4">
      <c r="A759" s="1" t="s">
        <v>1550</v>
      </c>
      <c r="B759" s="1" t="s">
        <v>1551</v>
      </c>
      <c r="C759" s="1" t="s">
        <v>39</v>
      </c>
      <c r="D759" s="1"/>
      <c r="E759" s="1" t="s">
        <v>18</v>
      </c>
    </row>
    <row r="760" spans="1:5" x14ac:dyDescent="0.4">
      <c r="A760" s="1" t="s">
        <v>1552</v>
      </c>
      <c r="B760" s="1" t="s">
        <v>1553</v>
      </c>
      <c r="C760" s="1" t="s">
        <v>39</v>
      </c>
      <c r="D760" s="1"/>
      <c r="E760" s="1" t="s">
        <v>185</v>
      </c>
    </row>
    <row r="761" spans="1:5" x14ac:dyDescent="0.4">
      <c r="A761" s="1" t="s">
        <v>1554</v>
      </c>
      <c r="B761" s="1" t="s">
        <v>1555</v>
      </c>
      <c r="C761" s="1" t="s">
        <v>39</v>
      </c>
      <c r="D761" s="1"/>
      <c r="E761" s="1" t="s">
        <v>204</v>
      </c>
    </row>
    <row r="762" spans="1:5" x14ac:dyDescent="0.4">
      <c r="A762" s="1" t="s">
        <v>1556</v>
      </c>
      <c r="B762" s="1" t="s">
        <v>1557</v>
      </c>
      <c r="C762" s="1" t="s">
        <v>39</v>
      </c>
      <c r="D762" s="1"/>
      <c r="E762" s="1" t="s">
        <v>135</v>
      </c>
    </row>
    <row r="763" spans="1:5" x14ac:dyDescent="0.4">
      <c r="A763" s="1" t="s">
        <v>1558</v>
      </c>
      <c r="B763" s="1" t="s">
        <v>1559</v>
      </c>
      <c r="C763" s="1" t="s">
        <v>39</v>
      </c>
      <c r="D763" s="1"/>
      <c r="E763" s="1" t="s">
        <v>646</v>
      </c>
    </row>
    <row r="764" spans="1:5" x14ac:dyDescent="0.4">
      <c r="A764" s="1" t="s">
        <v>1560</v>
      </c>
      <c r="B764" s="1" t="s">
        <v>1561</v>
      </c>
      <c r="C764" s="1" t="s">
        <v>39</v>
      </c>
      <c r="D764" s="1"/>
      <c r="E764" s="1" t="s">
        <v>148</v>
      </c>
    </row>
    <row r="765" spans="1:5" x14ac:dyDescent="0.4">
      <c r="A765" s="1" t="s">
        <v>1562</v>
      </c>
      <c r="B765" s="1" t="s">
        <v>1563</v>
      </c>
      <c r="C765" s="1" t="s">
        <v>39</v>
      </c>
      <c r="D765" s="1"/>
      <c r="E765" s="1" t="s">
        <v>646</v>
      </c>
    </row>
    <row r="766" spans="1:5" x14ac:dyDescent="0.4">
      <c r="A766" s="1" t="s">
        <v>1564</v>
      </c>
      <c r="B766" s="1" t="s">
        <v>1565</v>
      </c>
      <c r="C766" s="1" t="s">
        <v>39</v>
      </c>
      <c r="D766" s="1"/>
      <c r="E766" s="1" t="s">
        <v>166</v>
      </c>
    </row>
    <row r="767" spans="1:5" x14ac:dyDescent="0.4">
      <c r="A767" s="1" t="s">
        <v>1566</v>
      </c>
      <c r="B767" s="1" t="s">
        <v>1567</v>
      </c>
      <c r="C767" s="1" t="s">
        <v>39</v>
      </c>
      <c r="D767" s="1"/>
      <c r="E767" s="1" t="s">
        <v>18</v>
      </c>
    </row>
    <row r="768" spans="1:5" x14ac:dyDescent="0.4">
      <c r="A768" s="1" t="s">
        <v>1568</v>
      </c>
      <c r="B768" s="1" t="s">
        <v>1569</v>
      </c>
      <c r="C768" s="1" t="s">
        <v>39</v>
      </c>
      <c r="D768" s="1"/>
      <c r="E768" s="1" t="s">
        <v>138</v>
      </c>
    </row>
    <row r="769" spans="1:5" x14ac:dyDescent="0.4">
      <c r="A769" s="1" t="s">
        <v>1570</v>
      </c>
      <c r="B769" s="1" t="s">
        <v>1571</v>
      </c>
      <c r="C769" s="1" t="s">
        <v>39</v>
      </c>
      <c r="D769" s="1"/>
      <c r="E769" s="1" t="s">
        <v>204</v>
      </c>
    </row>
    <row r="770" spans="1:5" x14ac:dyDescent="0.4">
      <c r="A770" s="1" t="s">
        <v>1572</v>
      </c>
      <c r="B770" s="1" t="s">
        <v>1573</v>
      </c>
      <c r="C770" s="1" t="s">
        <v>39</v>
      </c>
      <c r="D770" s="1"/>
      <c r="E770" s="1" t="s">
        <v>166</v>
      </c>
    </row>
    <row r="771" spans="1:5" x14ac:dyDescent="0.4">
      <c r="A771" s="1" t="s">
        <v>1574</v>
      </c>
      <c r="B771" s="1" t="s">
        <v>1575</v>
      </c>
      <c r="C771" s="1" t="s">
        <v>39</v>
      </c>
      <c r="D771" s="1"/>
      <c r="E771" s="1" t="s">
        <v>566</v>
      </c>
    </row>
    <row r="772" spans="1:5" x14ac:dyDescent="0.4">
      <c r="A772" s="1" t="s">
        <v>1576</v>
      </c>
      <c r="B772" s="1" t="s">
        <v>1577</v>
      </c>
      <c r="C772" s="1" t="s">
        <v>39</v>
      </c>
      <c r="D772" s="1"/>
      <c r="E772" s="1" t="s">
        <v>1434</v>
      </c>
    </row>
    <row r="773" spans="1:5" x14ac:dyDescent="0.4">
      <c r="A773" s="1" t="s">
        <v>1578</v>
      </c>
      <c r="B773" s="1" t="s">
        <v>1579</v>
      </c>
      <c r="C773" s="1" t="s">
        <v>39</v>
      </c>
      <c r="D773" s="1"/>
      <c r="E773" s="1" t="s">
        <v>18</v>
      </c>
    </row>
    <row r="774" spans="1:5" x14ac:dyDescent="0.4">
      <c r="A774" s="1" t="s">
        <v>1580</v>
      </c>
      <c r="B774" s="1" t="s">
        <v>1581</v>
      </c>
      <c r="C774" s="1" t="s">
        <v>39</v>
      </c>
      <c r="D774" s="1"/>
      <c r="E774" s="1" t="s">
        <v>646</v>
      </c>
    </row>
    <row r="775" spans="1:5" x14ac:dyDescent="0.4">
      <c r="A775" s="1" t="s">
        <v>1582</v>
      </c>
      <c r="B775" s="1" t="s">
        <v>1583</v>
      </c>
      <c r="C775" s="1" t="s">
        <v>39</v>
      </c>
      <c r="D775" s="1"/>
      <c r="E775" s="1" t="s">
        <v>185</v>
      </c>
    </row>
    <row r="776" spans="1:5" x14ac:dyDescent="0.4">
      <c r="A776" s="1" t="s">
        <v>1584</v>
      </c>
      <c r="B776" s="1" t="s">
        <v>1585</v>
      </c>
      <c r="C776" s="1" t="s">
        <v>39</v>
      </c>
      <c r="D776" s="1"/>
      <c r="E776" s="1" t="s">
        <v>166</v>
      </c>
    </row>
    <row r="777" spans="1:5" x14ac:dyDescent="0.4">
      <c r="A777" s="1" t="s">
        <v>1586</v>
      </c>
      <c r="B777" s="1" t="s">
        <v>1587</v>
      </c>
      <c r="C777" s="1" t="s">
        <v>39</v>
      </c>
      <c r="D777" s="1"/>
      <c r="E777" s="1" t="s">
        <v>566</v>
      </c>
    </row>
    <row r="778" spans="1:5" x14ac:dyDescent="0.4">
      <c r="A778" s="1" t="s">
        <v>1588</v>
      </c>
      <c r="B778" s="1" t="s">
        <v>1589</v>
      </c>
      <c r="C778" s="1" t="s">
        <v>39</v>
      </c>
      <c r="D778" s="1"/>
      <c r="E778" s="1" t="s">
        <v>627</v>
      </c>
    </row>
    <row r="779" spans="1:5" x14ac:dyDescent="0.4">
      <c r="A779" s="1" t="s">
        <v>1590</v>
      </c>
      <c r="B779" s="1" t="s">
        <v>1591</v>
      </c>
      <c r="C779" s="1" t="s">
        <v>39</v>
      </c>
      <c r="D779" s="1"/>
      <c r="E779" s="1" t="s">
        <v>151</v>
      </c>
    </row>
    <row r="780" spans="1:5" x14ac:dyDescent="0.4">
      <c r="A780" s="1" t="s">
        <v>1592</v>
      </c>
      <c r="B780" s="1" t="s">
        <v>1593</v>
      </c>
      <c r="C780" s="1" t="s">
        <v>39</v>
      </c>
      <c r="D780" s="1"/>
      <c r="E780" s="1" t="s">
        <v>615</v>
      </c>
    </row>
    <row r="781" spans="1:5" x14ac:dyDescent="0.4">
      <c r="A781" s="1" t="s">
        <v>1594</v>
      </c>
      <c r="B781" s="1" t="s">
        <v>1595</v>
      </c>
      <c r="C781" s="1" t="s">
        <v>39</v>
      </c>
      <c r="D781" s="1"/>
      <c r="E781" s="1" t="s">
        <v>156</v>
      </c>
    </row>
    <row r="782" spans="1:5" x14ac:dyDescent="0.4">
      <c r="A782" s="1" t="s">
        <v>1596</v>
      </c>
      <c r="B782" s="1" t="s">
        <v>1597</v>
      </c>
      <c r="C782" s="1" t="s">
        <v>39</v>
      </c>
      <c r="D782" s="1"/>
      <c r="E782" s="1" t="s">
        <v>18</v>
      </c>
    </row>
    <row r="783" spans="1:5" x14ac:dyDescent="0.4">
      <c r="A783" s="1" t="s">
        <v>1598</v>
      </c>
      <c r="B783" s="1" t="s">
        <v>1599</v>
      </c>
      <c r="C783" s="1" t="s">
        <v>39</v>
      </c>
      <c r="D783" s="1"/>
      <c r="E783" s="1" t="s">
        <v>151</v>
      </c>
    </row>
    <row r="784" spans="1:5" x14ac:dyDescent="0.4">
      <c r="A784" s="1" t="s">
        <v>1600</v>
      </c>
      <c r="B784" s="1" t="s">
        <v>1601</v>
      </c>
      <c r="C784" s="1" t="s">
        <v>39</v>
      </c>
      <c r="D784" s="1"/>
      <c r="E784" s="1" t="s">
        <v>135</v>
      </c>
    </row>
    <row r="785" spans="1:5" x14ac:dyDescent="0.4">
      <c r="A785" s="1" t="s">
        <v>1602</v>
      </c>
      <c r="B785" s="1" t="s">
        <v>1603</v>
      </c>
      <c r="C785" s="1" t="s">
        <v>39</v>
      </c>
      <c r="D785" s="1"/>
      <c r="E785" s="1" t="s">
        <v>130</v>
      </c>
    </row>
    <row r="786" spans="1:5" x14ac:dyDescent="0.4">
      <c r="A786" s="1" t="s">
        <v>1604</v>
      </c>
      <c r="B786" s="1" t="s">
        <v>1605</v>
      </c>
      <c r="C786" s="1" t="s">
        <v>39</v>
      </c>
      <c r="D786" s="1"/>
      <c r="E786" s="1" t="s">
        <v>646</v>
      </c>
    </row>
    <row r="787" spans="1:5" x14ac:dyDescent="0.4">
      <c r="A787" s="1" t="s">
        <v>1606</v>
      </c>
      <c r="B787" s="1" t="s">
        <v>1607</v>
      </c>
      <c r="C787" s="1" t="s">
        <v>39</v>
      </c>
      <c r="D787" s="1"/>
      <c r="E787" s="1" t="s">
        <v>566</v>
      </c>
    </row>
    <row r="788" spans="1:5" x14ac:dyDescent="0.4">
      <c r="A788" s="1" t="s">
        <v>1608</v>
      </c>
      <c r="B788" s="1" t="s">
        <v>1609</v>
      </c>
      <c r="C788" s="1" t="s">
        <v>39</v>
      </c>
      <c r="D788" s="1"/>
      <c r="E788" s="1" t="s">
        <v>151</v>
      </c>
    </row>
    <row r="789" spans="1:5" x14ac:dyDescent="0.4">
      <c r="A789" s="1" t="s">
        <v>1610</v>
      </c>
      <c r="B789" s="1" t="s">
        <v>1611</v>
      </c>
      <c r="C789" s="1" t="s">
        <v>39</v>
      </c>
      <c r="D789" s="1"/>
      <c r="E789" s="1" t="s">
        <v>185</v>
      </c>
    </row>
    <row r="790" spans="1:5" x14ac:dyDescent="0.4">
      <c r="A790" s="1" t="s">
        <v>1612</v>
      </c>
      <c r="B790" s="1" t="s">
        <v>1613</v>
      </c>
      <c r="C790" s="1" t="s">
        <v>39</v>
      </c>
      <c r="D790" s="1"/>
      <c r="E790" s="1" t="s">
        <v>148</v>
      </c>
    </row>
    <row r="791" spans="1:5" x14ac:dyDescent="0.4">
      <c r="A791" s="1" t="s">
        <v>1614</v>
      </c>
      <c r="B791" s="1" t="s">
        <v>1615</v>
      </c>
      <c r="C791" s="1" t="s">
        <v>39</v>
      </c>
      <c r="D791" s="1"/>
      <c r="E791" s="1" t="s">
        <v>615</v>
      </c>
    </row>
    <row r="792" spans="1:5" x14ac:dyDescent="0.4">
      <c r="A792" s="1" t="s">
        <v>1616</v>
      </c>
      <c r="B792" s="1" t="s">
        <v>1617</v>
      </c>
      <c r="C792" s="1" t="s">
        <v>39</v>
      </c>
      <c r="D792" s="1"/>
      <c r="E792" s="1" t="s">
        <v>135</v>
      </c>
    </row>
    <row r="793" spans="1:5" x14ac:dyDescent="0.4">
      <c r="A793" s="1" t="s">
        <v>1618</v>
      </c>
      <c r="B793" s="1" t="s">
        <v>1619</v>
      </c>
      <c r="C793" s="1" t="s">
        <v>39</v>
      </c>
      <c r="D793" s="1"/>
      <c r="E793" s="1" t="s">
        <v>151</v>
      </c>
    </row>
    <row r="794" spans="1:5" x14ac:dyDescent="0.4">
      <c r="A794" s="1" t="s">
        <v>1620</v>
      </c>
      <c r="B794" s="1" t="s">
        <v>1621</v>
      </c>
      <c r="C794" s="1" t="s">
        <v>39</v>
      </c>
      <c r="D794" s="1"/>
      <c r="E794" s="1" t="s">
        <v>151</v>
      </c>
    </row>
    <row r="795" spans="1:5" x14ac:dyDescent="0.4">
      <c r="A795" s="1" t="s">
        <v>1622</v>
      </c>
      <c r="B795" s="1" t="s">
        <v>1623</v>
      </c>
      <c r="C795" s="1" t="s">
        <v>39</v>
      </c>
      <c r="D795" s="1"/>
      <c r="E795" s="1" t="s">
        <v>646</v>
      </c>
    </row>
    <row r="796" spans="1:5" x14ac:dyDescent="0.4">
      <c r="A796" s="1" t="s">
        <v>1624</v>
      </c>
      <c r="B796" s="1" t="s">
        <v>1625</v>
      </c>
      <c r="C796" s="1" t="s">
        <v>39</v>
      </c>
      <c r="D796" s="1"/>
      <c r="E796" s="1" t="s">
        <v>18</v>
      </c>
    </row>
    <row r="797" spans="1:5" x14ac:dyDescent="0.4">
      <c r="A797" s="1" t="s">
        <v>1626</v>
      </c>
      <c r="B797" s="1" t="s">
        <v>1627</v>
      </c>
      <c r="C797" s="1" t="s">
        <v>39</v>
      </c>
      <c r="D797" s="1"/>
      <c r="E797" s="1" t="s">
        <v>1453</v>
      </c>
    </row>
    <row r="798" spans="1:5" x14ac:dyDescent="0.4">
      <c r="A798" s="1" t="s">
        <v>1628</v>
      </c>
      <c r="B798" s="1" t="s">
        <v>1629</v>
      </c>
      <c r="C798" s="1" t="s">
        <v>39</v>
      </c>
      <c r="D798" s="1"/>
      <c r="E798" s="1" t="s">
        <v>148</v>
      </c>
    </row>
    <row r="799" spans="1:5" x14ac:dyDescent="0.4">
      <c r="A799" s="1" t="s">
        <v>1630</v>
      </c>
      <c r="B799" s="1" t="s">
        <v>1631</v>
      </c>
      <c r="C799" s="1" t="s">
        <v>39</v>
      </c>
      <c r="D799" s="1"/>
      <c r="E799" s="1" t="s">
        <v>646</v>
      </c>
    </row>
    <row r="800" spans="1:5" x14ac:dyDescent="0.4">
      <c r="A800" s="1" t="s">
        <v>1632</v>
      </c>
      <c r="B800" s="1" t="s">
        <v>1633</v>
      </c>
      <c r="C800" s="1" t="s">
        <v>39</v>
      </c>
      <c r="D800" s="1"/>
      <c r="E800" s="1" t="s">
        <v>166</v>
      </c>
    </row>
    <row r="801" spans="1:5" x14ac:dyDescent="0.4">
      <c r="A801" s="1" t="s">
        <v>1634</v>
      </c>
      <c r="B801" s="1" t="s">
        <v>1635</v>
      </c>
      <c r="C801" s="1" t="s">
        <v>39</v>
      </c>
      <c r="D801" s="1"/>
      <c r="E801" s="1" t="s">
        <v>151</v>
      </c>
    </row>
    <row r="802" spans="1:5" x14ac:dyDescent="0.4">
      <c r="A802" s="1" t="s">
        <v>1636</v>
      </c>
      <c r="B802" s="1" t="s">
        <v>1637</v>
      </c>
      <c r="C802" s="1" t="s">
        <v>39</v>
      </c>
      <c r="D802" s="1"/>
      <c r="E802" s="1" t="s">
        <v>185</v>
      </c>
    </row>
    <row r="803" spans="1:5" x14ac:dyDescent="0.4">
      <c r="A803" s="1" t="s">
        <v>1638</v>
      </c>
      <c r="B803" s="1" t="s">
        <v>1639</v>
      </c>
      <c r="C803" s="1" t="s">
        <v>39</v>
      </c>
      <c r="D803" s="1"/>
      <c r="E803" s="1" t="s">
        <v>138</v>
      </c>
    </row>
    <row r="804" spans="1:5" x14ac:dyDescent="0.4">
      <c r="A804" s="1" t="s">
        <v>1640</v>
      </c>
      <c r="B804" s="1" t="s">
        <v>1641</v>
      </c>
      <c r="C804" s="1" t="s">
        <v>39</v>
      </c>
      <c r="D804" s="1"/>
      <c r="E804" s="1" t="s">
        <v>615</v>
      </c>
    </row>
    <row r="805" spans="1:5" x14ac:dyDescent="0.4">
      <c r="A805" s="1" t="s">
        <v>1642</v>
      </c>
      <c r="B805" s="1" t="s">
        <v>1643</v>
      </c>
      <c r="C805" s="1" t="s">
        <v>39</v>
      </c>
      <c r="D805" s="1"/>
      <c r="E805" s="1" t="s">
        <v>166</v>
      </c>
    </row>
    <row r="806" spans="1:5" x14ac:dyDescent="0.4">
      <c r="A806" s="1" t="s">
        <v>1644</v>
      </c>
      <c r="B806" s="1" t="s">
        <v>1645</v>
      </c>
      <c r="C806" s="1" t="s">
        <v>39</v>
      </c>
      <c r="D806" s="1"/>
      <c r="E806" s="1" t="s">
        <v>143</v>
      </c>
    </row>
    <row r="807" spans="1:5" x14ac:dyDescent="0.4">
      <c r="A807" s="1" t="s">
        <v>1646</v>
      </c>
      <c r="B807" s="1" t="s">
        <v>1647</v>
      </c>
      <c r="C807" s="1" t="s">
        <v>39</v>
      </c>
      <c r="D807" s="1"/>
      <c r="E807" s="1" t="s">
        <v>615</v>
      </c>
    </row>
    <row r="808" spans="1:5" x14ac:dyDescent="0.4">
      <c r="A808" s="1" t="s">
        <v>1648</v>
      </c>
      <c r="B808" s="1" t="s">
        <v>1649</v>
      </c>
      <c r="C808" s="1" t="s">
        <v>39</v>
      </c>
      <c r="D808" s="1"/>
      <c r="E808" s="1" t="s">
        <v>18</v>
      </c>
    </row>
    <row r="809" spans="1:5" x14ac:dyDescent="0.4">
      <c r="A809" s="1" t="s">
        <v>1650</v>
      </c>
      <c r="B809" s="1" t="s">
        <v>1651</v>
      </c>
      <c r="C809" s="1" t="s">
        <v>39</v>
      </c>
      <c r="D809" s="1"/>
      <c r="E809" s="1" t="s">
        <v>156</v>
      </c>
    </row>
    <row r="810" spans="1:5" x14ac:dyDescent="0.4">
      <c r="A810" s="1" t="s">
        <v>1652</v>
      </c>
      <c r="B810" s="1" t="s">
        <v>1653</v>
      </c>
      <c r="C810" s="1" t="s">
        <v>39</v>
      </c>
      <c r="D810" s="1"/>
      <c r="E810" s="1" t="s">
        <v>18</v>
      </c>
    </row>
    <row r="811" spans="1:5" x14ac:dyDescent="0.4">
      <c r="A811" s="1" t="s">
        <v>1654</v>
      </c>
      <c r="B811" s="1" t="s">
        <v>1655</v>
      </c>
      <c r="C811" s="1" t="s">
        <v>39</v>
      </c>
      <c r="D811" s="1"/>
      <c r="E811" s="1" t="s">
        <v>151</v>
      </c>
    </row>
    <row r="812" spans="1:5" x14ac:dyDescent="0.4">
      <c r="A812" s="1" t="s">
        <v>1656</v>
      </c>
      <c r="B812" s="1" t="s">
        <v>1657</v>
      </c>
      <c r="C812" s="1" t="s">
        <v>39</v>
      </c>
      <c r="D812" s="1"/>
      <c r="E812" s="1" t="s">
        <v>566</v>
      </c>
    </row>
    <row r="813" spans="1:5" x14ac:dyDescent="0.4">
      <c r="A813" s="1" t="s">
        <v>1658</v>
      </c>
      <c r="B813" s="1" t="s">
        <v>1659</v>
      </c>
      <c r="C813" s="1" t="s">
        <v>39</v>
      </c>
      <c r="D813" s="1"/>
      <c r="E813" s="1" t="s">
        <v>1434</v>
      </c>
    </row>
    <row r="814" spans="1:5" x14ac:dyDescent="0.4">
      <c r="A814" s="1" t="s">
        <v>1660</v>
      </c>
      <c r="B814" s="1" t="s">
        <v>1661</v>
      </c>
      <c r="C814" s="1" t="s">
        <v>39</v>
      </c>
      <c r="D814" s="1"/>
      <c r="E814" s="1" t="s">
        <v>151</v>
      </c>
    </row>
    <row r="815" spans="1:5" x14ac:dyDescent="0.4">
      <c r="A815" s="1" t="s">
        <v>1662</v>
      </c>
      <c r="B815" s="1" t="s">
        <v>1663</v>
      </c>
      <c r="C815" s="1" t="s">
        <v>39</v>
      </c>
      <c r="D815" s="1"/>
      <c r="E815" s="1" t="s">
        <v>18</v>
      </c>
    </row>
    <row r="816" spans="1:5" x14ac:dyDescent="0.4">
      <c r="A816" s="1" t="s">
        <v>1664</v>
      </c>
      <c r="B816" s="1" t="s">
        <v>1665</v>
      </c>
      <c r="C816" s="1" t="s">
        <v>39</v>
      </c>
      <c r="D816" s="1"/>
      <c r="E816" s="1" t="s">
        <v>624</v>
      </c>
    </row>
    <row r="817" spans="1:5" x14ac:dyDescent="0.4">
      <c r="A817" s="1" t="s">
        <v>1666</v>
      </c>
      <c r="B817" s="1" t="s">
        <v>1667</v>
      </c>
      <c r="C817" s="1" t="s">
        <v>39</v>
      </c>
      <c r="D817" s="1"/>
      <c r="E817" s="1" t="s">
        <v>151</v>
      </c>
    </row>
    <row r="818" spans="1:5" x14ac:dyDescent="0.4">
      <c r="A818" s="1" t="s">
        <v>1668</v>
      </c>
      <c r="B818" s="1" t="s">
        <v>1669</v>
      </c>
      <c r="C818" s="1" t="s">
        <v>39</v>
      </c>
      <c r="D818" s="1"/>
      <c r="E818" s="1" t="s">
        <v>566</v>
      </c>
    </row>
    <row r="819" spans="1:5" x14ac:dyDescent="0.4">
      <c r="A819" s="1" t="s">
        <v>1670</v>
      </c>
      <c r="B819" s="1" t="s">
        <v>1671</v>
      </c>
      <c r="C819" s="1" t="s">
        <v>39</v>
      </c>
      <c r="D819" s="1"/>
      <c r="E819" s="1" t="s">
        <v>161</v>
      </c>
    </row>
    <row r="820" spans="1:5" x14ac:dyDescent="0.4">
      <c r="A820" t="s">
        <v>1672</v>
      </c>
      <c r="B820" t="s">
        <v>1673</v>
      </c>
      <c r="C820" s="1" t="s">
        <v>39</v>
      </c>
      <c r="E820" t="s">
        <v>1674</v>
      </c>
    </row>
    <row r="821" spans="1:5" x14ac:dyDescent="0.4">
      <c r="A821" t="s">
        <v>1675</v>
      </c>
      <c r="B821" t="s">
        <v>1676</v>
      </c>
      <c r="C821" s="1" t="s">
        <v>39</v>
      </c>
      <c r="E821" t="s">
        <v>166</v>
      </c>
    </row>
    <row r="822" spans="1:5" x14ac:dyDescent="0.4">
      <c r="A822" t="s">
        <v>1678</v>
      </c>
      <c r="B822" t="s">
        <v>1679</v>
      </c>
      <c r="C822" s="1" t="s">
        <v>39</v>
      </c>
      <c r="E822" t="s">
        <v>18</v>
      </c>
    </row>
    <row r="823" spans="1:5" x14ac:dyDescent="0.4">
      <c r="A823" t="s">
        <v>1680</v>
      </c>
      <c r="B823" t="s">
        <v>1681</v>
      </c>
      <c r="C823" s="1" t="s">
        <v>39</v>
      </c>
      <c r="E823" t="s">
        <v>1674</v>
      </c>
    </row>
    <row r="824" spans="1:5" x14ac:dyDescent="0.4">
      <c r="A824" t="s">
        <v>1682</v>
      </c>
      <c r="B824" t="s">
        <v>1683</v>
      </c>
      <c r="C824" s="1" t="s">
        <v>39</v>
      </c>
      <c r="E824" t="s">
        <v>566</v>
      </c>
    </row>
    <row r="825" spans="1:5" x14ac:dyDescent="0.4">
      <c r="A825" t="s">
        <v>1684</v>
      </c>
      <c r="B825" t="s">
        <v>1685</v>
      </c>
      <c r="C825" s="1" t="s">
        <v>39</v>
      </c>
      <c r="E825" t="s">
        <v>18</v>
      </c>
    </row>
    <row r="826" spans="1:5" x14ac:dyDescent="0.4">
      <c r="A826" t="s">
        <v>1686</v>
      </c>
      <c r="B826" t="s">
        <v>1687</v>
      </c>
      <c r="C826" s="1" t="s">
        <v>39</v>
      </c>
      <c r="E826" t="s">
        <v>1674</v>
      </c>
    </row>
    <row r="827" spans="1:5" x14ac:dyDescent="0.4">
      <c r="A827" t="s">
        <v>1688</v>
      </c>
      <c r="B827" t="s">
        <v>1689</v>
      </c>
      <c r="C827" s="1" t="s">
        <v>39</v>
      </c>
      <c r="E827" t="s">
        <v>1690</v>
      </c>
    </row>
    <row r="828" spans="1:5" x14ac:dyDescent="0.4">
      <c r="A828" t="s">
        <v>1691</v>
      </c>
      <c r="B828" t="s">
        <v>1692</v>
      </c>
      <c r="C828" s="1" t="s">
        <v>39</v>
      </c>
      <c r="E828" t="s">
        <v>166</v>
      </c>
    </row>
    <row r="829" spans="1:5" x14ac:dyDescent="0.4">
      <c r="A829" t="s">
        <v>1693</v>
      </c>
      <c r="B829" t="s">
        <v>1694</v>
      </c>
      <c r="C829" s="1" t="s">
        <v>39</v>
      </c>
      <c r="E829" t="s">
        <v>148</v>
      </c>
    </row>
    <row r="830" spans="1:5" x14ac:dyDescent="0.4">
      <c r="A830" t="s">
        <v>1695</v>
      </c>
      <c r="B830" t="s">
        <v>1696</v>
      </c>
      <c r="C830" s="1" t="s">
        <v>39</v>
      </c>
      <c r="E830" t="s">
        <v>1453</v>
      </c>
    </row>
    <row r="831" spans="1:5" x14ac:dyDescent="0.4">
      <c r="A831" t="s">
        <v>1697</v>
      </c>
      <c r="B831" t="s">
        <v>1698</v>
      </c>
      <c r="C831" s="1" t="s">
        <v>39</v>
      </c>
      <c r="E831" t="s">
        <v>151</v>
      </c>
    </row>
    <row r="832" spans="1:5" x14ac:dyDescent="0.4">
      <c r="A832" t="s">
        <v>1699</v>
      </c>
      <c r="B832" t="s">
        <v>1700</v>
      </c>
      <c r="C832" s="1" t="s">
        <v>39</v>
      </c>
      <c r="E832" t="s">
        <v>646</v>
      </c>
    </row>
    <row r="833" spans="1:5" x14ac:dyDescent="0.4">
      <c r="A833" t="s">
        <v>1701</v>
      </c>
      <c r="B833" t="s">
        <v>1702</v>
      </c>
      <c r="C833" s="1" t="s">
        <v>39</v>
      </c>
      <c r="E833" t="s">
        <v>166</v>
      </c>
    </row>
    <row r="834" spans="1:5" x14ac:dyDescent="0.4">
      <c r="A834" t="s">
        <v>1703</v>
      </c>
      <c r="B834" t="s">
        <v>1704</v>
      </c>
      <c r="C834" s="1" t="s">
        <v>39</v>
      </c>
      <c r="E834" t="s">
        <v>151</v>
      </c>
    </row>
    <row r="835" spans="1:5" x14ac:dyDescent="0.4">
      <c r="A835" t="s">
        <v>1705</v>
      </c>
      <c r="B835" t="s">
        <v>1706</v>
      </c>
      <c r="C835" s="1" t="s">
        <v>39</v>
      </c>
      <c r="E835" t="s">
        <v>2214</v>
      </c>
    </row>
    <row r="836" spans="1:5" x14ac:dyDescent="0.4">
      <c r="A836" t="s">
        <v>1707</v>
      </c>
      <c r="B836" t="s">
        <v>1708</v>
      </c>
      <c r="C836" s="1" t="s">
        <v>39</v>
      </c>
      <c r="E836" t="s">
        <v>151</v>
      </c>
    </row>
    <row r="837" spans="1:5" x14ac:dyDescent="0.4">
      <c r="A837" t="s">
        <v>1709</v>
      </c>
      <c r="B837" t="s">
        <v>1710</v>
      </c>
      <c r="C837" s="1" t="s">
        <v>39</v>
      </c>
      <c r="E837" t="s">
        <v>715</v>
      </c>
    </row>
    <row r="838" spans="1:5" x14ac:dyDescent="0.4">
      <c r="A838" t="s">
        <v>1711</v>
      </c>
      <c r="B838" t="s">
        <v>1712</v>
      </c>
      <c r="C838" s="1" t="s">
        <v>39</v>
      </c>
      <c r="E838" t="s">
        <v>627</v>
      </c>
    </row>
    <row r="839" spans="1:5" x14ac:dyDescent="0.4">
      <c r="A839" t="s">
        <v>1713</v>
      </c>
      <c r="B839" t="s">
        <v>1714</v>
      </c>
      <c r="C839" s="1" t="s">
        <v>39</v>
      </c>
      <c r="E839" t="s">
        <v>330</v>
      </c>
    </row>
    <row r="840" spans="1:5" x14ac:dyDescent="0.4">
      <c r="A840" t="s">
        <v>1733</v>
      </c>
      <c r="B840" t="s">
        <v>1715</v>
      </c>
      <c r="C840" s="1" t="s">
        <v>39</v>
      </c>
      <c r="E840" t="s">
        <v>330</v>
      </c>
    </row>
    <row r="841" spans="1:5" x14ac:dyDescent="0.4">
      <c r="A841" t="s">
        <v>1716</v>
      </c>
      <c r="B841" t="s">
        <v>1717</v>
      </c>
      <c r="C841" s="1" t="s">
        <v>39</v>
      </c>
      <c r="E841" t="s">
        <v>330</v>
      </c>
    </row>
    <row r="842" spans="1:5" x14ac:dyDescent="0.4">
      <c r="A842" t="s">
        <v>1718</v>
      </c>
      <c r="B842" t="s">
        <v>1719</v>
      </c>
      <c r="C842" s="1" t="s">
        <v>39</v>
      </c>
      <c r="E842" t="s">
        <v>330</v>
      </c>
    </row>
    <row r="843" spans="1:5" x14ac:dyDescent="0.4">
      <c r="A843" t="s">
        <v>1734</v>
      </c>
      <c r="B843" t="s">
        <v>1720</v>
      </c>
      <c r="C843" s="1" t="s">
        <v>39</v>
      </c>
      <c r="E843" t="s">
        <v>330</v>
      </c>
    </row>
    <row r="844" spans="1:5" x14ac:dyDescent="0.4">
      <c r="A844" t="s">
        <v>1721</v>
      </c>
      <c r="B844" t="s">
        <v>1722</v>
      </c>
      <c r="C844" s="1" t="s">
        <v>39</v>
      </c>
      <c r="E844" t="s">
        <v>330</v>
      </c>
    </row>
    <row r="845" spans="1:5" x14ac:dyDescent="0.4">
      <c r="A845" t="s">
        <v>1723</v>
      </c>
      <c r="B845" t="s">
        <v>1724</v>
      </c>
      <c r="C845" s="1" t="s">
        <v>39</v>
      </c>
      <c r="E845" t="s">
        <v>330</v>
      </c>
    </row>
    <row r="846" spans="1:5" x14ac:dyDescent="0.4">
      <c r="A846" t="s">
        <v>1725</v>
      </c>
      <c r="B846" t="s">
        <v>1726</v>
      </c>
      <c r="C846" s="1" t="s">
        <v>39</v>
      </c>
      <c r="E846" t="s">
        <v>330</v>
      </c>
    </row>
    <row r="847" spans="1:5" x14ac:dyDescent="0.4">
      <c r="A847" t="s">
        <v>1727</v>
      </c>
      <c r="B847" t="s">
        <v>1728</v>
      </c>
      <c r="C847" s="1" t="s">
        <v>39</v>
      </c>
      <c r="E847" t="s">
        <v>330</v>
      </c>
    </row>
    <row r="848" spans="1:5" x14ac:dyDescent="0.4">
      <c r="A848" t="s">
        <v>1729</v>
      </c>
      <c r="B848" t="s">
        <v>1730</v>
      </c>
      <c r="C848" s="1" t="s">
        <v>39</v>
      </c>
      <c r="E848" t="s">
        <v>330</v>
      </c>
    </row>
    <row r="849" spans="1:5" x14ac:dyDescent="0.4">
      <c r="A849" t="s">
        <v>1731</v>
      </c>
      <c r="B849" t="s">
        <v>1732</v>
      </c>
      <c r="C849" s="1" t="s">
        <v>39</v>
      </c>
      <c r="E849" t="s">
        <v>330</v>
      </c>
    </row>
    <row r="850" spans="1:5" x14ac:dyDescent="0.4">
      <c r="A850" s="1" t="s">
        <v>1735</v>
      </c>
      <c r="B850" s="1" t="s">
        <v>1736</v>
      </c>
      <c r="C850" s="1" t="s">
        <v>39</v>
      </c>
      <c r="D850" s="1"/>
      <c r="E850" s="1" t="s">
        <v>156</v>
      </c>
    </row>
    <row r="851" spans="1:5" x14ac:dyDescent="0.4">
      <c r="A851" s="1" t="s">
        <v>1737</v>
      </c>
      <c r="B851" s="1" t="s">
        <v>1738</v>
      </c>
      <c r="C851" s="1" t="s">
        <v>39</v>
      </c>
      <c r="D851" s="1"/>
      <c r="E851" s="1" t="s">
        <v>156</v>
      </c>
    </row>
    <row r="852" spans="1:5" x14ac:dyDescent="0.4">
      <c r="A852" s="1" t="s">
        <v>1739</v>
      </c>
      <c r="B852" s="1" t="s">
        <v>1740</v>
      </c>
      <c r="C852" s="1" t="s">
        <v>39</v>
      </c>
      <c r="D852" s="1"/>
      <c r="E852" s="1" t="s">
        <v>156</v>
      </c>
    </row>
    <row r="853" spans="1:5" x14ac:dyDescent="0.4">
      <c r="A853" s="1" t="s">
        <v>1741</v>
      </c>
      <c r="B853" s="1" t="s">
        <v>1742</v>
      </c>
      <c r="C853" s="1" t="s">
        <v>39</v>
      </c>
      <c r="D853" s="1"/>
      <c r="E853" s="1" t="s">
        <v>156</v>
      </c>
    </row>
    <row r="854" spans="1:5" x14ac:dyDescent="0.4">
      <c r="A854" s="1" t="s">
        <v>1743</v>
      </c>
      <c r="B854" s="1" t="s">
        <v>1744</v>
      </c>
      <c r="C854" s="1" t="s">
        <v>39</v>
      </c>
      <c r="D854" s="1"/>
      <c r="E854" s="1" t="s">
        <v>156</v>
      </c>
    </row>
    <row r="855" spans="1:5" x14ac:dyDescent="0.4">
      <c r="A855" s="1" t="s">
        <v>1745</v>
      </c>
      <c r="B855" s="1" t="s">
        <v>1746</v>
      </c>
      <c r="C855" s="1" t="s">
        <v>39</v>
      </c>
      <c r="D855" s="1"/>
      <c r="E855" s="1" t="s">
        <v>156</v>
      </c>
    </row>
    <row r="856" spans="1:5" x14ac:dyDescent="0.4">
      <c r="A856" s="1" t="s">
        <v>1747</v>
      </c>
      <c r="B856" s="1" t="s">
        <v>1748</v>
      </c>
      <c r="C856" s="1" t="s">
        <v>39</v>
      </c>
      <c r="D856" s="1"/>
      <c r="E856" s="1" t="s">
        <v>156</v>
      </c>
    </row>
    <row r="857" spans="1:5" x14ac:dyDescent="0.4">
      <c r="A857" s="1" t="s">
        <v>1749</v>
      </c>
      <c r="B857" s="1" t="s">
        <v>1750</v>
      </c>
      <c r="C857" s="1" t="s">
        <v>39</v>
      </c>
      <c r="D857" s="1"/>
      <c r="E857" s="1" t="s">
        <v>156</v>
      </c>
    </row>
    <row r="858" spans="1:5" x14ac:dyDescent="0.4">
      <c r="A858" s="1" t="s">
        <v>1751</v>
      </c>
      <c r="B858" s="1" t="s">
        <v>1752</v>
      </c>
      <c r="C858" s="1" t="s">
        <v>39</v>
      </c>
      <c r="D858" s="1"/>
      <c r="E858" s="1" t="s">
        <v>156</v>
      </c>
    </row>
    <row r="859" spans="1:5" x14ac:dyDescent="0.4">
      <c r="A859" s="1" t="s">
        <v>1753</v>
      </c>
      <c r="B859" s="1" t="s">
        <v>1754</v>
      </c>
      <c r="C859" s="1" t="s">
        <v>39</v>
      </c>
      <c r="D859" s="1"/>
      <c r="E859" s="1" t="s">
        <v>156</v>
      </c>
    </row>
    <row r="860" spans="1:5" x14ac:dyDescent="0.4">
      <c r="A860" s="1" t="s">
        <v>1755</v>
      </c>
      <c r="B860" s="1" t="s">
        <v>1756</v>
      </c>
      <c r="C860" s="1" t="s">
        <v>39</v>
      </c>
      <c r="D860" s="1"/>
      <c r="E860" s="1" t="s">
        <v>156</v>
      </c>
    </row>
    <row r="861" spans="1:5" x14ac:dyDescent="0.4">
      <c r="A861" s="1" t="s">
        <v>1757</v>
      </c>
      <c r="B861" s="1" t="s">
        <v>1758</v>
      </c>
      <c r="C861" s="1" t="s">
        <v>39</v>
      </c>
      <c r="D861" s="1"/>
      <c r="E861" s="1" t="s">
        <v>156</v>
      </c>
    </row>
    <row r="862" spans="1:5" x14ac:dyDescent="0.4">
      <c r="A862" s="1" t="s">
        <v>1759</v>
      </c>
      <c r="B862" s="1" t="s">
        <v>1760</v>
      </c>
      <c r="C862" s="1" t="s">
        <v>39</v>
      </c>
      <c r="D862" s="1"/>
      <c r="E862" s="1" t="s">
        <v>156</v>
      </c>
    </row>
    <row r="863" spans="1:5" x14ac:dyDescent="0.4">
      <c r="A863" s="1" t="s">
        <v>1761</v>
      </c>
      <c r="B863" s="1" t="s">
        <v>1762</v>
      </c>
      <c r="C863" s="1" t="s">
        <v>39</v>
      </c>
      <c r="D863" s="1"/>
      <c r="E863" s="1" t="s">
        <v>156</v>
      </c>
    </row>
    <row r="864" spans="1:5" x14ac:dyDescent="0.4">
      <c r="A864" t="s">
        <v>1763</v>
      </c>
      <c r="B864" t="s">
        <v>1764</v>
      </c>
      <c r="C864" s="1" t="s">
        <v>56</v>
      </c>
      <c r="E864" t="s">
        <v>730</v>
      </c>
    </row>
    <row r="865" spans="1:5" x14ac:dyDescent="0.4">
      <c r="A865" t="s">
        <v>1765</v>
      </c>
      <c r="B865" t="s">
        <v>1766</v>
      </c>
      <c r="C865" s="1" t="s">
        <v>39</v>
      </c>
      <c r="E865" t="s">
        <v>730</v>
      </c>
    </row>
    <row r="866" spans="1:5" x14ac:dyDescent="0.4">
      <c r="A866" t="s">
        <v>1767</v>
      </c>
      <c r="B866" t="s">
        <v>1768</v>
      </c>
      <c r="C866" s="1" t="s">
        <v>56</v>
      </c>
      <c r="E866" t="s">
        <v>325</v>
      </c>
    </row>
    <row r="867" spans="1:5" x14ac:dyDescent="0.4">
      <c r="A867" t="s">
        <v>1769</v>
      </c>
      <c r="B867" t="s">
        <v>1770</v>
      </c>
      <c r="C867" s="1" t="s">
        <v>56</v>
      </c>
      <c r="E867" t="s">
        <v>18</v>
      </c>
    </row>
    <row r="868" spans="1:5" x14ac:dyDescent="0.4">
      <c r="A868" t="s">
        <v>761</v>
      </c>
      <c r="B868" t="s">
        <v>1771</v>
      </c>
      <c r="C868" s="1" t="s">
        <v>56</v>
      </c>
      <c r="E868" t="s">
        <v>166</v>
      </c>
    </row>
    <row r="869" spans="1:5" x14ac:dyDescent="0.4">
      <c r="A869" t="s">
        <v>744</v>
      </c>
      <c r="B869" t="s">
        <v>1772</v>
      </c>
      <c r="C869" s="1" t="s">
        <v>56</v>
      </c>
      <c r="E869" t="s">
        <v>125</v>
      </c>
    </row>
    <row r="870" spans="1:5" x14ac:dyDescent="0.4">
      <c r="A870" t="s">
        <v>1773</v>
      </c>
      <c r="B870" t="s">
        <v>1774</v>
      </c>
      <c r="C870" s="1" t="s">
        <v>56</v>
      </c>
      <c r="E870" t="s">
        <v>627</v>
      </c>
    </row>
    <row r="871" spans="1:5" x14ac:dyDescent="0.4">
      <c r="A871" t="s">
        <v>1775</v>
      </c>
      <c r="B871" t="s">
        <v>1776</v>
      </c>
      <c r="C871" s="1" t="s">
        <v>56</v>
      </c>
      <c r="E871" t="s">
        <v>166</v>
      </c>
    </row>
    <row r="872" spans="1:5" x14ac:dyDescent="0.4">
      <c r="A872" t="s">
        <v>1777</v>
      </c>
      <c r="B872" t="s">
        <v>1778</v>
      </c>
      <c r="C872" s="1" t="s">
        <v>56</v>
      </c>
      <c r="E872" t="s">
        <v>135</v>
      </c>
    </row>
    <row r="873" spans="1:5" x14ac:dyDescent="0.4">
      <c r="A873" t="s">
        <v>1779</v>
      </c>
      <c r="B873" t="s">
        <v>1780</v>
      </c>
      <c r="C873" s="1" t="s">
        <v>56</v>
      </c>
      <c r="E873" t="s">
        <v>325</v>
      </c>
    </row>
    <row r="874" spans="1:5" x14ac:dyDescent="0.4">
      <c r="A874" t="s">
        <v>1781</v>
      </c>
      <c r="B874" t="s">
        <v>1782</v>
      </c>
      <c r="C874" s="1" t="s">
        <v>56</v>
      </c>
      <c r="E874" t="s">
        <v>138</v>
      </c>
    </row>
    <row r="875" spans="1:5" x14ac:dyDescent="0.4">
      <c r="A875" t="s">
        <v>1783</v>
      </c>
      <c r="B875" t="s">
        <v>1784</v>
      </c>
      <c r="C875" s="1" t="s">
        <v>56</v>
      </c>
      <c r="E875" t="s">
        <v>1677</v>
      </c>
    </row>
    <row r="876" spans="1:5" x14ac:dyDescent="0.4">
      <c r="A876" t="s">
        <v>1785</v>
      </c>
      <c r="B876" t="s">
        <v>1786</v>
      </c>
      <c r="C876" s="1" t="s">
        <v>56</v>
      </c>
      <c r="E876" t="s">
        <v>1677</v>
      </c>
    </row>
    <row r="877" spans="1:5" x14ac:dyDescent="0.4">
      <c r="A877" t="s">
        <v>1787</v>
      </c>
      <c r="B877" t="s">
        <v>1788</v>
      </c>
      <c r="C877" s="1" t="s">
        <v>56</v>
      </c>
      <c r="E877" t="s">
        <v>138</v>
      </c>
    </row>
    <row r="878" spans="1:5" x14ac:dyDescent="0.4">
      <c r="A878" t="s">
        <v>1789</v>
      </c>
      <c r="B878" t="s">
        <v>1790</v>
      </c>
      <c r="C878" s="1" t="s">
        <v>56</v>
      </c>
      <c r="E878" t="s">
        <v>1823</v>
      </c>
    </row>
    <row r="879" spans="1:5" x14ac:dyDescent="0.4">
      <c r="A879" t="s">
        <v>1791</v>
      </c>
      <c r="B879" t="s">
        <v>1792</v>
      </c>
      <c r="C879" s="1" t="s">
        <v>56</v>
      </c>
      <c r="E879" t="s">
        <v>715</v>
      </c>
    </row>
    <row r="880" spans="1:5" x14ac:dyDescent="0.4">
      <c r="A880" t="s">
        <v>1793</v>
      </c>
      <c r="B880" t="s">
        <v>1794</v>
      </c>
      <c r="C880" s="1" t="s">
        <v>56</v>
      </c>
      <c r="E880" t="s">
        <v>566</v>
      </c>
    </row>
    <row r="881" spans="1:5" x14ac:dyDescent="0.4">
      <c r="A881" t="s">
        <v>1795</v>
      </c>
      <c r="B881" t="s">
        <v>1796</v>
      </c>
      <c r="C881" s="1" t="s">
        <v>56</v>
      </c>
      <c r="E881" t="s">
        <v>156</v>
      </c>
    </row>
    <row r="882" spans="1:5" x14ac:dyDescent="0.4">
      <c r="A882" t="s">
        <v>1797</v>
      </c>
      <c r="B882" t="s">
        <v>1798</v>
      </c>
      <c r="C882" s="1" t="s">
        <v>56</v>
      </c>
      <c r="E882" t="s">
        <v>161</v>
      </c>
    </row>
    <row r="883" spans="1:5" x14ac:dyDescent="0.4">
      <c r="A883" t="s">
        <v>1799</v>
      </c>
      <c r="B883" t="s">
        <v>1800</v>
      </c>
      <c r="C883" s="1" t="s">
        <v>56</v>
      </c>
      <c r="E883" t="s">
        <v>627</v>
      </c>
    </row>
    <row r="884" spans="1:5" x14ac:dyDescent="0.4">
      <c r="A884" t="s">
        <v>1801</v>
      </c>
      <c r="B884" t="s">
        <v>1802</v>
      </c>
      <c r="C884" s="1" t="s">
        <v>56</v>
      </c>
      <c r="E884" t="s">
        <v>627</v>
      </c>
    </row>
    <row r="885" spans="1:5" x14ac:dyDescent="0.4">
      <c r="A885" t="s">
        <v>1803</v>
      </c>
      <c r="B885" t="s">
        <v>1804</v>
      </c>
      <c r="C885" s="1" t="s">
        <v>56</v>
      </c>
      <c r="E885" t="s">
        <v>627</v>
      </c>
    </row>
    <row r="886" spans="1:5" x14ac:dyDescent="0.4">
      <c r="A886" t="s">
        <v>1805</v>
      </c>
      <c r="B886" t="s">
        <v>1806</v>
      </c>
      <c r="C886" s="1" t="s">
        <v>56</v>
      </c>
      <c r="E886" t="s">
        <v>566</v>
      </c>
    </row>
    <row r="887" spans="1:5" x14ac:dyDescent="0.4">
      <c r="A887" t="s">
        <v>1807</v>
      </c>
      <c r="B887" t="s">
        <v>1808</v>
      </c>
      <c r="C887" s="1" t="s">
        <v>56</v>
      </c>
      <c r="E887" t="s">
        <v>138</v>
      </c>
    </row>
    <row r="888" spans="1:5" x14ac:dyDescent="0.4">
      <c r="A888" t="s">
        <v>1809</v>
      </c>
      <c r="B888" t="s">
        <v>1810</v>
      </c>
      <c r="C888" s="1" t="s">
        <v>56</v>
      </c>
      <c r="E888" t="s">
        <v>566</v>
      </c>
    </row>
    <row r="889" spans="1:5" x14ac:dyDescent="0.4">
      <c r="A889" t="s">
        <v>1811</v>
      </c>
      <c r="B889" t="s">
        <v>1812</v>
      </c>
      <c r="C889" s="1" t="s">
        <v>56</v>
      </c>
      <c r="E889" t="s">
        <v>1453</v>
      </c>
    </row>
    <row r="890" spans="1:5" x14ac:dyDescent="0.4">
      <c r="A890" t="s">
        <v>1813</v>
      </c>
      <c r="B890" t="s">
        <v>1814</v>
      </c>
      <c r="C890" s="1" t="s">
        <v>56</v>
      </c>
      <c r="E890" t="s">
        <v>730</v>
      </c>
    </row>
    <row r="891" spans="1:5" x14ac:dyDescent="0.4">
      <c r="A891" t="s">
        <v>1815</v>
      </c>
      <c r="B891" t="s">
        <v>1816</v>
      </c>
      <c r="C891" s="1" t="s">
        <v>56</v>
      </c>
      <c r="E891" t="s">
        <v>715</v>
      </c>
    </row>
    <row r="892" spans="1:5" x14ac:dyDescent="0.4">
      <c r="A892" t="s">
        <v>1817</v>
      </c>
      <c r="B892" t="s">
        <v>1818</v>
      </c>
      <c r="C892" s="1" t="s">
        <v>56</v>
      </c>
      <c r="E892" t="s">
        <v>566</v>
      </c>
    </row>
    <row r="893" spans="1:5" x14ac:dyDescent="0.4">
      <c r="A893" t="s">
        <v>1819</v>
      </c>
      <c r="B893" t="s">
        <v>1820</v>
      </c>
      <c r="C893" s="1" t="s">
        <v>56</v>
      </c>
      <c r="E893" t="s">
        <v>156</v>
      </c>
    </row>
    <row r="894" spans="1:5" x14ac:dyDescent="0.4">
      <c r="A894" t="s">
        <v>1821</v>
      </c>
      <c r="B894" t="s">
        <v>1822</v>
      </c>
      <c r="C894" s="1" t="s">
        <v>56</v>
      </c>
      <c r="E894" t="s">
        <v>1823</v>
      </c>
    </row>
    <row r="895" spans="1:5" x14ac:dyDescent="0.4">
      <c r="A895" t="s">
        <v>1824</v>
      </c>
      <c r="B895" t="s">
        <v>1825</v>
      </c>
      <c r="C895" s="1" t="s">
        <v>56</v>
      </c>
      <c r="E895" t="s">
        <v>1823</v>
      </c>
    </row>
    <row r="896" spans="1:5" x14ac:dyDescent="0.4">
      <c r="A896" t="s">
        <v>1826</v>
      </c>
      <c r="B896" t="s">
        <v>1827</v>
      </c>
      <c r="C896" s="1" t="s">
        <v>56</v>
      </c>
      <c r="E896" t="s">
        <v>627</v>
      </c>
    </row>
    <row r="897" spans="1:5" x14ac:dyDescent="0.4">
      <c r="A897" t="s">
        <v>1828</v>
      </c>
      <c r="B897" t="s">
        <v>1829</v>
      </c>
      <c r="C897" s="1" t="s">
        <v>56</v>
      </c>
      <c r="E897" t="s">
        <v>185</v>
      </c>
    </row>
    <row r="898" spans="1:5" x14ac:dyDescent="0.4">
      <c r="A898" t="s">
        <v>1830</v>
      </c>
      <c r="B898" t="s">
        <v>1831</v>
      </c>
      <c r="C898" s="1" t="s">
        <v>56</v>
      </c>
      <c r="E898" t="s">
        <v>615</v>
      </c>
    </row>
    <row r="899" spans="1:5" x14ac:dyDescent="0.4">
      <c r="A899" t="s">
        <v>1832</v>
      </c>
      <c r="B899" t="s">
        <v>1833</v>
      </c>
      <c r="C899" s="1" t="s">
        <v>56</v>
      </c>
      <c r="E899" t="s">
        <v>1823</v>
      </c>
    </row>
    <row r="900" spans="1:5" x14ac:dyDescent="0.4">
      <c r="A900" t="s">
        <v>1834</v>
      </c>
      <c r="B900" t="s">
        <v>1835</v>
      </c>
      <c r="C900" s="1" t="s">
        <v>56</v>
      </c>
      <c r="E900" t="s">
        <v>1823</v>
      </c>
    </row>
    <row r="901" spans="1:5" x14ac:dyDescent="0.4">
      <c r="A901" t="s">
        <v>1836</v>
      </c>
      <c r="B901" t="s">
        <v>1837</v>
      </c>
      <c r="C901" s="1" t="s">
        <v>56</v>
      </c>
      <c r="E901" t="s">
        <v>325</v>
      </c>
    </row>
    <row r="902" spans="1:5" x14ac:dyDescent="0.4">
      <c r="A902" t="s">
        <v>1838</v>
      </c>
      <c r="B902" t="s">
        <v>1839</v>
      </c>
      <c r="C902" s="1" t="s">
        <v>56</v>
      </c>
      <c r="E902" t="s">
        <v>1823</v>
      </c>
    </row>
    <row r="903" spans="1:5" x14ac:dyDescent="0.4">
      <c r="A903" t="s">
        <v>1840</v>
      </c>
      <c r="B903" t="s">
        <v>1841</v>
      </c>
      <c r="C903" s="1" t="s">
        <v>56</v>
      </c>
      <c r="E903" t="s">
        <v>151</v>
      </c>
    </row>
    <row r="904" spans="1:5" x14ac:dyDescent="0.4">
      <c r="A904" s="1" t="s">
        <v>1842</v>
      </c>
      <c r="B904" s="1" t="s">
        <v>1843</v>
      </c>
      <c r="C904" s="1" t="s">
        <v>56</v>
      </c>
      <c r="E904" t="s">
        <v>125</v>
      </c>
    </row>
    <row r="905" spans="1:5" x14ac:dyDescent="0.4">
      <c r="A905" s="1" t="s">
        <v>1844</v>
      </c>
      <c r="B905" s="1" t="s">
        <v>1845</v>
      </c>
      <c r="C905" s="1" t="s">
        <v>56</v>
      </c>
      <c r="E905" t="s">
        <v>161</v>
      </c>
    </row>
    <row r="906" spans="1:5" x14ac:dyDescent="0.4">
      <c r="A906" s="1" t="s">
        <v>1846</v>
      </c>
      <c r="B906" s="1" t="s">
        <v>1847</v>
      </c>
      <c r="C906" s="1" t="s">
        <v>56</v>
      </c>
      <c r="E906" t="s">
        <v>615</v>
      </c>
    </row>
    <row r="907" spans="1:5" x14ac:dyDescent="0.4">
      <c r="A907" s="1" t="s">
        <v>1848</v>
      </c>
      <c r="B907" s="1" t="s">
        <v>1849</v>
      </c>
      <c r="C907" s="1" t="s">
        <v>56</v>
      </c>
      <c r="E907" t="s">
        <v>1434</v>
      </c>
    </row>
    <row r="908" spans="1:5" x14ac:dyDescent="0.4">
      <c r="A908" s="1" t="s">
        <v>1850</v>
      </c>
      <c r="B908" s="1" t="s">
        <v>1851</v>
      </c>
      <c r="C908" s="1" t="s">
        <v>56</v>
      </c>
      <c r="E908" t="s">
        <v>166</v>
      </c>
    </row>
    <row r="909" spans="1:5" x14ac:dyDescent="0.4">
      <c r="A909" s="1" t="s">
        <v>1852</v>
      </c>
      <c r="B909" s="1" t="s">
        <v>1853</v>
      </c>
      <c r="C909" s="1" t="s">
        <v>56</v>
      </c>
      <c r="E909" t="s">
        <v>1823</v>
      </c>
    </row>
    <row r="910" spans="1:5" x14ac:dyDescent="0.4">
      <c r="A910" s="1" t="s">
        <v>1854</v>
      </c>
      <c r="B910" s="1" t="s">
        <v>1855</v>
      </c>
      <c r="C910" s="1" t="s">
        <v>56</v>
      </c>
      <c r="E910" t="s">
        <v>1823</v>
      </c>
    </row>
    <row r="911" spans="1:5" x14ac:dyDescent="0.4">
      <c r="A911" s="1" t="s">
        <v>1856</v>
      </c>
      <c r="B911" s="1" t="s">
        <v>1857</v>
      </c>
      <c r="C911" s="1" t="s">
        <v>56</v>
      </c>
      <c r="E911" t="s">
        <v>1823</v>
      </c>
    </row>
    <row r="912" spans="1:5" x14ac:dyDescent="0.4">
      <c r="A912" s="1" t="s">
        <v>1858</v>
      </c>
      <c r="B912" s="1" t="s">
        <v>1859</v>
      </c>
      <c r="C912" s="1" t="s">
        <v>56</v>
      </c>
      <c r="E912" t="s">
        <v>1823</v>
      </c>
    </row>
    <row r="913" spans="1:5" x14ac:dyDescent="0.4">
      <c r="A913" t="s">
        <v>1860</v>
      </c>
      <c r="B913" t="s">
        <v>1861</v>
      </c>
      <c r="C913" s="1" t="s">
        <v>56</v>
      </c>
      <c r="E913" t="s">
        <v>1823</v>
      </c>
    </row>
    <row r="914" spans="1:5" x14ac:dyDescent="0.4">
      <c r="A914" t="s">
        <v>1862</v>
      </c>
      <c r="B914" t="s">
        <v>1863</v>
      </c>
      <c r="C914" s="1" t="s">
        <v>56</v>
      </c>
      <c r="E914" t="s">
        <v>1823</v>
      </c>
    </row>
    <row r="915" spans="1:5" x14ac:dyDescent="0.4">
      <c r="A915" t="s">
        <v>1864</v>
      </c>
      <c r="B915" t="s">
        <v>1865</v>
      </c>
      <c r="C915" s="1" t="s">
        <v>56</v>
      </c>
      <c r="E915" t="s">
        <v>138</v>
      </c>
    </row>
    <row r="916" spans="1:5" x14ac:dyDescent="0.4">
      <c r="A916" t="s">
        <v>1866</v>
      </c>
      <c r="B916" t="s">
        <v>1867</v>
      </c>
      <c r="C916" s="1" t="s">
        <v>56</v>
      </c>
      <c r="E916" t="s">
        <v>156</v>
      </c>
    </row>
    <row r="917" spans="1:5" x14ac:dyDescent="0.4">
      <c r="A917" t="s">
        <v>1868</v>
      </c>
      <c r="B917" t="s">
        <v>1869</v>
      </c>
      <c r="C917" s="1" t="s">
        <v>56</v>
      </c>
      <c r="E917" t="s">
        <v>161</v>
      </c>
    </row>
    <row r="918" spans="1:5" x14ac:dyDescent="0.4">
      <c r="A918" t="s">
        <v>1870</v>
      </c>
      <c r="B918" t="s">
        <v>1871</v>
      </c>
      <c r="C918" s="1" t="s">
        <v>56</v>
      </c>
      <c r="E918" t="s">
        <v>615</v>
      </c>
    </row>
    <row r="919" spans="1:5" x14ac:dyDescent="0.4">
      <c r="A919" t="s">
        <v>1872</v>
      </c>
      <c r="B919" t="s">
        <v>1873</v>
      </c>
      <c r="C919" s="1" t="s">
        <v>56</v>
      </c>
      <c r="E919" t="s">
        <v>624</v>
      </c>
    </row>
    <row r="920" spans="1:5" x14ac:dyDescent="0.4">
      <c r="A920" t="s">
        <v>1874</v>
      </c>
      <c r="B920" t="s">
        <v>1875</v>
      </c>
      <c r="C920" s="1" t="s">
        <v>56</v>
      </c>
      <c r="E920" t="s">
        <v>151</v>
      </c>
    </row>
    <row r="921" spans="1:5" x14ac:dyDescent="0.4">
      <c r="A921" t="s">
        <v>1876</v>
      </c>
      <c r="B921" t="s">
        <v>1877</v>
      </c>
      <c r="C921" s="1" t="s">
        <v>56</v>
      </c>
      <c r="E921" t="s">
        <v>1823</v>
      </c>
    </row>
    <row r="922" spans="1:5" x14ac:dyDescent="0.4">
      <c r="A922" t="s">
        <v>1878</v>
      </c>
      <c r="B922" t="s">
        <v>1879</v>
      </c>
      <c r="C922" s="1" t="s">
        <v>56</v>
      </c>
      <c r="E922" t="s">
        <v>166</v>
      </c>
    </row>
    <row r="923" spans="1:5" x14ac:dyDescent="0.4">
      <c r="A923" t="s">
        <v>1880</v>
      </c>
      <c r="B923" t="s">
        <v>1881</v>
      </c>
      <c r="C923" s="1" t="s">
        <v>56</v>
      </c>
      <c r="E923" t="s">
        <v>185</v>
      </c>
    </row>
    <row r="924" spans="1:5" x14ac:dyDescent="0.4">
      <c r="A924" t="s">
        <v>1882</v>
      </c>
      <c r="B924" t="s">
        <v>1883</v>
      </c>
      <c r="C924" s="1" t="s">
        <v>56</v>
      </c>
      <c r="E924" t="s">
        <v>615</v>
      </c>
    </row>
    <row r="925" spans="1:5" x14ac:dyDescent="0.4">
      <c r="A925" t="s">
        <v>1884</v>
      </c>
      <c r="B925" t="s">
        <v>1885</v>
      </c>
      <c r="C925" s="1" t="s">
        <v>56</v>
      </c>
      <c r="E925" t="s">
        <v>18</v>
      </c>
    </row>
    <row r="926" spans="1:5" x14ac:dyDescent="0.4">
      <c r="A926" t="s">
        <v>1886</v>
      </c>
      <c r="B926" t="s">
        <v>1887</v>
      </c>
      <c r="C926" s="1" t="s">
        <v>56</v>
      </c>
      <c r="E926" t="s">
        <v>18</v>
      </c>
    </row>
    <row r="927" spans="1:5" x14ac:dyDescent="0.4">
      <c r="A927" t="s">
        <v>1888</v>
      </c>
      <c r="B927" t="s">
        <v>1889</v>
      </c>
      <c r="C927" s="1" t="s">
        <v>56</v>
      </c>
      <c r="E927" t="s">
        <v>166</v>
      </c>
    </row>
    <row r="928" spans="1:5" x14ac:dyDescent="0.4">
      <c r="A928" t="s">
        <v>1890</v>
      </c>
      <c r="B928" t="s">
        <v>1891</v>
      </c>
      <c r="C928" s="1" t="s">
        <v>56</v>
      </c>
      <c r="E928" t="s">
        <v>185</v>
      </c>
    </row>
    <row r="929" spans="1:5" x14ac:dyDescent="0.4">
      <c r="A929" t="s">
        <v>1892</v>
      </c>
      <c r="B929" t="s">
        <v>1893</v>
      </c>
      <c r="C929" s="1" t="s">
        <v>56</v>
      </c>
      <c r="E929" t="s">
        <v>624</v>
      </c>
    </row>
    <row r="930" spans="1:5" x14ac:dyDescent="0.4">
      <c r="A930" t="s">
        <v>1894</v>
      </c>
      <c r="B930" t="s">
        <v>1895</v>
      </c>
      <c r="C930" s="1" t="s">
        <v>56</v>
      </c>
      <c r="E930" t="s">
        <v>135</v>
      </c>
    </row>
    <row r="931" spans="1:5" x14ac:dyDescent="0.4">
      <c r="A931" t="s">
        <v>1896</v>
      </c>
      <c r="B931" t="s">
        <v>1897</v>
      </c>
      <c r="C931" s="1" t="s">
        <v>56</v>
      </c>
      <c r="E931" t="s">
        <v>1823</v>
      </c>
    </row>
    <row r="932" spans="1:5" x14ac:dyDescent="0.4">
      <c r="A932" t="s">
        <v>1898</v>
      </c>
      <c r="B932" t="s">
        <v>1899</v>
      </c>
      <c r="C932" s="1" t="s">
        <v>56</v>
      </c>
      <c r="E932" t="s">
        <v>1823</v>
      </c>
    </row>
    <row r="933" spans="1:5" x14ac:dyDescent="0.4">
      <c r="A933" t="s">
        <v>1900</v>
      </c>
      <c r="B933" t="s">
        <v>1901</v>
      </c>
      <c r="C933" s="1" t="s">
        <v>56</v>
      </c>
      <c r="E933" t="s">
        <v>18</v>
      </c>
    </row>
    <row r="934" spans="1:5" x14ac:dyDescent="0.4">
      <c r="A934" t="s">
        <v>1902</v>
      </c>
      <c r="B934" t="s">
        <v>1903</v>
      </c>
      <c r="C934" s="1" t="s">
        <v>56</v>
      </c>
      <c r="E934" t="s">
        <v>156</v>
      </c>
    </row>
    <row r="935" spans="1:5" x14ac:dyDescent="0.4">
      <c r="A935" t="s">
        <v>1904</v>
      </c>
      <c r="B935" t="s">
        <v>1905</v>
      </c>
      <c r="C935" s="1" t="s">
        <v>56</v>
      </c>
      <c r="E935" t="s">
        <v>1823</v>
      </c>
    </row>
    <row r="936" spans="1:5" x14ac:dyDescent="0.4">
      <c r="A936" t="s">
        <v>1906</v>
      </c>
      <c r="B936" t="s">
        <v>1907</v>
      </c>
      <c r="C936" s="1" t="s">
        <v>56</v>
      </c>
      <c r="E936" t="s">
        <v>138</v>
      </c>
    </row>
    <row r="937" spans="1:5" x14ac:dyDescent="0.4">
      <c r="A937" t="s">
        <v>1908</v>
      </c>
      <c r="B937" t="s">
        <v>1909</v>
      </c>
      <c r="C937" s="1" t="s">
        <v>56</v>
      </c>
      <c r="E937" t="s">
        <v>166</v>
      </c>
    </row>
    <row r="938" spans="1:5" x14ac:dyDescent="0.4">
      <c r="A938" t="s">
        <v>1910</v>
      </c>
      <c r="B938" t="s">
        <v>1911</v>
      </c>
      <c r="C938" s="1" t="s">
        <v>56</v>
      </c>
      <c r="E938" t="s">
        <v>615</v>
      </c>
    </row>
    <row r="939" spans="1:5" x14ac:dyDescent="0.4">
      <c r="A939" t="s">
        <v>1912</v>
      </c>
      <c r="B939" t="s">
        <v>1913</v>
      </c>
      <c r="C939" s="1" t="s">
        <v>56</v>
      </c>
      <c r="E939" t="s">
        <v>325</v>
      </c>
    </row>
    <row r="940" spans="1:5" x14ac:dyDescent="0.4">
      <c r="A940" t="s">
        <v>1914</v>
      </c>
      <c r="B940" t="s">
        <v>1915</v>
      </c>
      <c r="C940" s="1" t="s">
        <v>56</v>
      </c>
      <c r="E940" t="s">
        <v>185</v>
      </c>
    </row>
    <row r="941" spans="1:5" x14ac:dyDescent="0.4">
      <c r="A941" t="s">
        <v>1916</v>
      </c>
      <c r="B941" t="s">
        <v>1917</v>
      </c>
      <c r="C941" s="1" t="s">
        <v>56</v>
      </c>
      <c r="E941" t="s">
        <v>148</v>
      </c>
    </row>
    <row r="942" spans="1:5" x14ac:dyDescent="0.4">
      <c r="A942" t="s">
        <v>1918</v>
      </c>
      <c r="B942" t="s">
        <v>1919</v>
      </c>
      <c r="C942" s="1" t="s">
        <v>56</v>
      </c>
      <c r="E942" t="s">
        <v>730</v>
      </c>
    </row>
    <row r="943" spans="1:5" x14ac:dyDescent="0.4">
      <c r="A943" t="s">
        <v>1920</v>
      </c>
      <c r="B943" t="s">
        <v>1921</v>
      </c>
      <c r="C943" s="1" t="s">
        <v>56</v>
      </c>
      <c r="E943" t="s">
        <v>138</v>
      </c>
    </row>
    <row r="944" spans="1:5" x14ac:dyDescent="0.4">
      <c r="A944" s="1" t="s">
        <v>1922</v>
      </c>
      <c r="B944" s="1" t="s">
        <v>1923</v>
      </c>
      <c r="C944" s="1" t="s">
        <v>56</v>
      </c>
      <c r="D944" s="1"/>
      <c r="E944" s="1" t="s">
        <v>151</v>
      </c>
    </row>
    <row r="945" spans="1:5" x14ac:dyDescent="0.4">
      <c r="A945" s="1" t="s">
        <v>1924</v>
      </c>
      <c r="B945" s="1" t="s">
        <v>1925</v>
      </c>
      <c r="C945" s="1" t="s">
        <v>56</v>
      </c>
      <c r="D945" s="1"/>
      <c r="E945" s="1" t="s">
        <v>18</v>
      </c>
    </row>
    <row r="946" spans="1:5" x14ac:dyDescent="0.4">
      <c r="A946" s="1" t="s">
        <v>1926</v>
      </c>
      <c r="B946" s="1" t="s">
        <v>1927</v>
      </c>
      <c r="C946" s="1" t="s">
        <v>56</v>
      </c>
      <c r="D946" s="1"/>
      <c r="E946" s="1" t="s">
        <v>138</v>
      </c>
    </row>
    <row r="947" spans="1:5" x14ac:dyDescent="0.4">
      <c r="A947" s="1" t="s">
        <v>1928</v>
      </c>
      <c r="B947" s="1" t="s">
        <v>1929</v>
      </c>
      <c r="C947" s="1" t="s">
        <v>56</v>
      </c>
      <c r="D947" s="1"/>
      <c r="E947" s="1" t="s">
        <v>615</v>
      </c>
    </row>
    <row r="948" spans="1:5" x14ac:dyDescent="0.4">
      <c r="A948" s="1" t="s">
        <v>1930</v>
      </c>
      <c r="B948" s="1" t="s">
        <v>1931</v>
      </c>
      <c r="C948" s="1" t="s">
        <v>56</v>
      </c>
      <c r="D948" s="1"/>
      <c r="E948" s="1" t="s">
        <v>151</v>
      </c>
    </row>
    <row r="949" spans="1:5" x14ac:dyDescent="0.4">
      <c r="A949" s="1" t="s">
        <v>1932</v>
      </c>
      <c r="B949" s="1" t="s">
        <v>1933</v>
      </c>
      <c r="C949" s="1" t="s">
        <v>56</v>
      </c>
      <c r="D949" s="1"/>
      <c r="E949" s="1" t="s">
        <v>138</v>
      </c>
    </row>
    <row r="950" spans="1:5" x14ac:dyDescent="0.4">
      <c r="A950" s="1" t="s">
        <v>1934</v>
      </c>
      <c r="B950" s="1" t="s">
        <v>1935</v>
      </c>
      <c r="C950" s="1" t="s">
        <v>56</v>
      </c>
      <c r="D950" s="1"/>
      <c r="E950" s="1" t="s">
        <v>1823</v>
      </c>
    </row>
    <row r="951" spans="1:5" x14ac:dyDescent="0.4">
      <c r="A951" s="1" t="s">
        <v>1936</v>
      </c>
      <c r="B951" s="1" t="s">
        <v>1937</v>
      </c>
      <c r="C951" s="1" t="s">
        <v>56</v>
      </c>
      <c r="D951" s="1"/>
      <c r="E951" s="1" t="s">
        <v>325</v>
      </c>
    </row>
    <row r="952" spans="1:5" x14ac:dyDescent="0.4">
      <c r="A952" s="1" t="s">
        <v>1938</v>
      </c>
      <c r="B952" s="1" t="s">
        <v>1939</v>
      </c>
      <c r="C952" s="1" t="s">
        <v>56</v>
      </c>
      <c r="D952" s="1"/>
      <c r="E952" s="1" t="s">
        <v>166</v>
      </c>
    </row>
    <row r="953" spans="1:5" x14ac:dyDescent="0.4">
      <c r="A953" s="1" t="s">
        <v>1940</v>
      </c>
      <c r="B953" s="1" t="s">
        <v>1941</v>
      </c>
      <c r="C953" s="1" t="s">
        <v>56</v>
      </c>
      <c r="D953" s="1"/>
      <c r="E953" s="1" t="s">
        <v>18</v>
      </c>
    </row>
    <row r="954" spans="1:5" x14ac:dyDescent="0.4">
      <c r="A954" s="1" t="s">
        <v>1942</v>
      </c>
      <c r="B954" s="1" t="s">
        <v>1943</v>
      </c>
      <c r="C954" s="1" t="s">
        <v>56</v>
      </c>
      <c r="D954" s="1"/>
      <c r="E954" s="1" t="s">
        <v>1823</v>
      </c>
    </row>
    <row r="955" spans="1:5" x14ac:dyDescent="0.4">
      <c r="A955" s="1" t="s">
        <v>1944</v>
      </c>
      <c r="B955" s="1" t="s">
        <v>1945</v>
      </c>
      <c r="C955" s="1" t="s">
        <v>56</v>
      </c>
      <c r="D955" s="1"/>
      <c r="E955" s="1" t="s">
        <v>615</v>
      </c>
    </row>
    <row r="956" spans="1:5" x14ac:dyDescent="0.4">
      <c r="A956" s="1" t="s">
        <v>1946</v>
      </c>
      <c r="B956" s="1" t="s">
        <v>1947</v>
      </c>
      <c r="C956" s="1" t="s">
        <v>56</v>
      </c>
      <c r="D956" s="1"/>
      <c r="E956" s="1" t="s">
        <v>156</v>
      </c>
    </row>
    <row r="957" spans="1:5" x14ac:dyDescent="0.4">
      <c r="A957" s="1" t="s">
        <v>1948</v>
      </c>
      <c r="B957" s="1" t="s">
        <v>1949</v>
      </c>
      <c r="C957" s="1" t="s">
        <v>56</v>
      </c>
      <c r="D957" s="1"/>
      <c r="E957" s="1" t="s">
        <v>138</v>
      </c>
    </row>
    <row r="958" spans="1:5" x14ac:dyDescent="0.4">
      <c r="A958" s="1" t="s">
        <v>1950</v>
      </c>
      <c r="B958" s="1" t="s">
        <v>1951</v>
      </c>
      <c r="C958" s="1" t="s">
        <v>56</v>
      </c>
      <c r="D958" s="1"/>
      <c r="E958" s="1" t="s">
        <v>151</v>
      </c>
    </row>
    <row r="959" spans="1:5" x14ac:dyDescent="0.4">
      <c r="A959" s="1" t="s">
        <v>1952</v>
      </c>
      <c r="B959" s="1" t="s">
        <v>1953</v>
      </c>
      <c r="C959" s="1" t="s">
        <v>56</v>
      </c>
      <c r="D959" s="1"/>
      <c r="E959" s="1" t="s">
        <v>615</v>
      </c>
    </row>
    <row r="960" spans="1:5" x14ac:dyDescent="0.4">
      <c r="A960" s="1" t="s">
        <v>1954</v>
      </c>
      <c r="B960" s="1" t="s">
        <v>1955</v>
      </c>
      <c r="C960" s="1" t="s">
        <v>56</v>
      </c>
      <c r="D960" s="1"/>
      <c r="E960" s="1" t="s">
        <v>1823</v>
      </c>
    </row>
    <row r="961" spans="1:5" x14ac:dyDescent="0.4">
      <c r="A961" s="1" t="s">
        <v>1956</v>
      </c>
      <c r="B961" s="1" t="s">
        <v>1957</v>
      </c>
      <c r="C961" s="1" t="s">
        <v>56</v>
      </c>
      <c r="D961" s="1"/>
      <c r="E961" s="1" t="s">
        <v>138</v>
      </c>
    </row>
    <row r="962" spans="1:5" x14ac:dyDescent="0.4">
      <c r="A962" s="1" t="s">
        <v>1958</v>
      </c>
      <c r="B962" s="1" t="s">
        <v>1959</v>
      </c>
      <c r="C962" s="1" t="s">
        <v>56</v>
      </c>
      <c r="D962" s="1"/>
      <c r="E962" s="1" t="s">
        <v>166</v>
      </c>
    </row>
    <row r="963" spans="1:5" x14ac:dyDescent="0.4">
      <c r="A963" s="1" t="s">
        <v>1960</v>
      </c>
      <c r="B963" s="1" t="s">
        <v>1961</v>
      </c>
      <c r="C963" s="1" t="s">
        <v>56</v>
      </c>
      <c r="D963" s="1"/>
      <c r="E963" s="1" t="s">
        <v>1823</v>
      </c>
    </row>
    <row r="964" spans="1:5" x14ac:dyDescent="0.4">
      <c r="A964" s="1" t="s">
        <v>1962</v>
      </c>
      <c r="B964" s="1" t="s">
        <v>1963</v>
      </c>
      <c r="C964" s="1" t="s">
        <v>56</v>
      </c>
      <c r="D964" s="1"/>
      <c r="E964" s="1" t="s">
        <v>1823</v>
      </c>
    </row>
    <row r="965" spans="1:5" x14ac:dyDescent="0.4">
      <c r="A965" s="1" t="s">
        <v>1964</v>
      </c>
      <c r="B965" s="1" t="s">
        <v>1965</v>
      </c>
      <c r="C965" s="1" t="s">
        <v>56</v>
      </c>
      <c r="D965" s="1"/>
      <c r="E965" s="1" t="s">
        <v>1823</v>
      </c>
    </row>
    <row r="966" spans="1:5" x14ac:dyDescent="0.4">
      <c r="A966" s="1" t="s">
        <v>1966</v>
      </c>
      <c r="B966" s="1" t="s">
        <v>1967</v>
      </c>
      <c r="C966" s="1" t="s">
        <v>56</v>
      </c>
      <c r="D966" s="1"/>
      <c r="E966" s="1" t="s">
        <v>130</v>
      </c>
    </row>
    <row r="967" spans="1:5" x14ac:dyDescent="0.4">
      <c r="A967" s="1" t="s">
        <v>1968</v>
      </c>
      <c r="B967" s="1" t="s">
        <v>1969</v>
      </c>
      <c r="C967" s="1" t="s">
        <v>56</v>
      </c>
      <c r="D967" s="1"/>
      <c r="E967" s="1" t="s">
        <v>18</v>
      </c>
    </row>
    <row r="968" spans="1:5" x14ac:dyDescent="0.4">
      <c r="A968" s="1" t="s">
        <v>1970</v>
      </c>
      <c r="B968" s="1" t="s">
        <v>1971</v>
      </c>
      <c r="C968" s="1" t="s">
        <v>56</v>
      </c>
      <c r="D968" s="1"/>
      <c r="E968" s="1" t="s">
        <v>151</v>
      </c>
    </row>
    <row r="969" spans="1:5" x14ac:dyDescent="0.4">
      <c r="A969" s="1" t="s">
        <v>1972</v>
      </c>
      <c r="B969" s="1" t="s">
        <v>1973</v>
      </c>
      <c r="C969" s="1" t="s">
        <v>56</v>
      </c>
      <c r="D969" s="1"/>
      <c r="E969" s="1" t="s">
        <v>18</v>
      </c>
    </row>
    <row r="970" spans="1:5" x14ac:dyDescent="0.4">
      <c r="A970" s="1" t="s">
        <v>1974</v>
      </c>
      <c r="B970" s="1" t="s">
        <v>1975</v>
      </c>
      <c r="C970" s="1" t="s">
        <v>56</v>
      </c>
      <c r="D970" s="1"/>
      <c r="E970" s="1" t="s">
        <v>1823</v>
      </c>
    </row>
    <row r="971" spans="1:5" x14ac:dyDescent="0.4">
      <c r="A971" s="1" t="s">
        <v>1976</v>
      </c>
      <c r="B971" s="1" t="s">
        <v>1977</v>
      </c>
      <c r="C971" s="1" t="s">
        <v>56</v>
      </c>
      <c r="D971" s="1"/>
      <c r="E971" s="1" t="s">
        <v>1823</v>
      </c>
    </row>
    <row r="972" spans="1:5" x14ac:dyDescent="0.4">
      <c r="A972" s="1" t="s">
        <v>1978</v>
      </c>
      <c r="B972" s="1" t="s">
        <v>1979</v>
      </c>
      <c r="C972" s="1" t="s">
        <v>56</v>
      </c>
      <c r="D972" s="1"/>
      <c r="E972" s="1" t="s">
        <v>1823</v>
      </c>
    </row>
    <row r="973" spans="1:5" x14ac:dyDescent="0.4">
      <c r="A973" s="1" t="s">
        <v>1980</v>
      </c>
      <c r="B973" s="1" t="s">
        <v>1981</v>
      </c>
      <c r="C973" s="1" t="s">
        <v>56</v>
      </c>
      <c r="D973" s="1"/>
      <c r="E973" s="1" t="s">
        <v>1823</v>
      </c>
    </row>
    <row r="974" spans="1:5" x14ac:dyDescent="0.4">
      <c r="A974" s="1" t="s">
        <v>1982</v>
      </c>
      <c r="B974" s="1" t="s">
        <v>1983</v>
      </c>
      <c r="C974" s="1" t="s">
        <v>56</v>
      </c>
      <c r="D974" s="1"/>
      <c r="E974" s="1" t="s">
        <v>1823</v>
      </c>
    </row>
    <row r="975" spans="1:5" x14ac:dyDescent="0.4">
      <c r="A975" s="1" t="s">
        <v>1984</v>
      </c>
      <c r="B975" s="1" t="s">
        <v>1985</v>
      </c>
      <c r="C975" s="1" t="s">
        <v>56</v>
      </c>
      <c r="D975" s="1"/>
      <c r="E975" s="1" t="s">
        <v>1823</v>
      </c>
    </row>
    <row r="976" spans="1:5" x14ac:dyDescent="0.4">
      <c r="A976" s="1" t="s">
        <v>1986</v>
      </c>
      <c r="B976" s="1" t="s">
        <v>1987</v>
      </c>
      <c r="C976" s="1" t="s">
        <v>56</v>
      </c>
      <c r="D976" s="1"/>
      <c r="E976" s="1" t="s">
        <v>1823</v>
      </c>
    </row>
    <row r="977" spans="1:5" x14ac:dyDescent="0.4">
      <c r="A977" s="1" t="s">
        <v>1988</v>
      </c>
      <c r="B977" s="1" t="s">
        <v>1989</v>
      </c>
      <c r="C977" s="1" t="s">
        <v>56</v>
      </c>
      <c r="D977" s="1"/>
      <c r="E977" s="1" t="s">
        <v>151</v>
      </c>
    </row>
    <row r="978" spans="1:5" x14ac:dyDescent="0.4">
      <c r="A978" s="1" t="s">
        <v>1990</v>
      </c>
      <c r="B978" s="1" t="s">
        <v>1991</v>
      </c>
      <c r="C978" s="1" t="s">
        <v>56</v>
      </c>
      <c r="D978" s="1"/>
      <c r="E978" s="1" t="s">
        <v>1823</v>
      </c>
    </row>
    <row r="979" spans="1:5" x14ac:dyDescent="0.4">
      <c r="A979" s="1" t="s">
        <v>1992</v>
      </c>
      <c r="B979" s="1" t="s">
        <v>1993</v>
      </c>
      <c r="C979" s="1" t="s">
        <v>56</v>
      </c>
      <c r="D979" s="1"/>
      <c r="E979" s="1" t="s">
        <v>566</v>
      </c>
    </row>
    <row r="980" spans="1:5" x14ac:dyDescent="0.4">
      <c r="A980" s="1" t="s">
        <v>1994</v>
      </c>
      <c r="B980" s="1" t="s">
        <v>1995</v>
      </c>
      <c r="C980" s="1" t="s">
        <v>56</v>
      </c>
      <c r="D980" s="1"/>
      <c r="E980" s="1" t="s">
        <v>627</v>
      </c>
    </row>
    <row r="981" spans="1:5" x14ac:dyDescent="0.4">
      <c r="A981" s="1" t="s">
        <v>1996</v>
      </c>
      <c r="B981" s="1" t="s">
        <v>1997</v>
      </c>
      <c r="C981" s="1" t="s">
        <v>56</v>
      </c>
      <c r="D981" s="1"/>
      <c r="E981" s="1" t="s">
        <v>18</v>
      </c>
    </row>
    <row r="982" spans="1:5" x14ac:dyDescent="0.4">
      <c r="A982" s="1" t="s">
        <v>1998</v>
      </c>
      <c r="B982" s="1" t="s">
        <v>1999</v>
      </c>
      <c r="C982" s="1" t="s">
        <v>56</v>
      </c>
      <c r="D982" s="1"/>
      <c r="E982" s="1" t="s">
        <v>1823</v>
      </c>
    </row>
    <row r="983" spans="1:5" x14ac:dyDescent="0.4">
      <c r="A983" s="1" t="s">
        <v>2000</v>
      </c>
      <c r="B983" s="1" t="s">
        <v>2001</v>
      </c>
      <c r="C983" s="1" t="s">
        <v>56</v>
      </c>
      <c r="D983" s="1"/>
      <c r="E983" s="1" t="s">
        <v>166</v>
      </c>
    </row>
    <row r="984" spans="1:5" x14ac:dyDescent="0.4">
      <c r="A984" s="1" t="s">
        <v>2002</v>
      </c>
      <c r="B984" s="1" t="s">
        <v>2003</v>
      </c>
      <c r="C984" s="1" t="s">
        <v>56</v>
      </c>
      <c r="D984" s="1"/>
      <c r="E984" s="1" t="s">
        <v>151</v>
      </c>
    </row>
    <row r="985" spans="1:5" x14ac:dyDescent="0.4">
      <c r="A985" s="1" t="s">
        <v>2004</v>
      </c>
      <c r="B985" s="1" t="s">
        <v>2005</v>
      </c>
      <c r="C985" s="1" t="s">
        <v>56</v>
      </c>
      <c r="D985" s="1"/>
      <c r="E985" s="1" t="s">
        <v>148</v>
      </c>
    </row>
    <row r="986" spans="1:5" x14ac:dyDescent="0.4">
      <c r="A986" s="1" t="s">
        <v>2006</v>
      </c>
      <c r="B986" s="1" t="s">
        <v>2007</v>
      </c>
      <c r="C986" s="1" t="s">
        <v>56</v>
      </c>
      <c r="D986" s="1"/>
      <c r="E986" s="1" t="s">
        <v>18</v>
      </c>
    </row>
    <row r="987" spans="1:5" x14ac:dyDescent="0.4">
      <c r="A987" s="1" t="s">
        <v>2008</v>
      </c>
      <c r="B987" s="1" t="s">
        <v>2009</v>
      </c>
      <c r="C987" s="1" t="s">
        <v>56</v>
      </c>
      <c r="D987" s="1"/>
      <c r="E987" s="1" t="s">
        <v>143</v>
      </c>
    </row>
    <row r="988" spans="1:5" x14ac:dyDescent="0.4">
      <c r="A988" s="1" t="s">
        <v>2010</v>
      </c>
      <c r="B988" s="1" t="s">
        <v>2011</v>
      </c>
      <c r="C988" s="1" t="s">
        <v>56</v>
      </c>
      <c r="D988" s="1"/>
      <c r="E988" s="1" t="s">
        <v>143</v>
      </c>
    </row>
    <row r="989" spans="1:5" x14ac:dyDescent="0.4">
      <c r="A989" s="1" t="s">
        <v>2012</v>
      </c>
      <c r="B989" s="1" t="s">
        <v>2013</v>
      </c>
      <c r="C989" s="1" t="s">
        <v>56</v>
      </c>
      <c r="D989" s="1"/>
      <c r="E989" s="1" t="s">
        <v>615</v>
      </c>
    </row>
    <row r="990" spans="1:5" x14ac:dyDescent="0.4">
      <c r="A990" s="1" t="s">
        <v>2014</v>
      </c>
      <c r="B990" s="1" t="s">
        <v>2015</v>
      </c>
      <c r="C990" s="1" t="s">
        <v>56</v>
      </c>
      <c r="D990" s="1"/>
      <c r="E990" s="1" t="s">
        <v>18</v>
      </c>
    </row>
    <row r="991" spans="1:5" x14ac:dyDescent="0.4">
      <c r="A991" s="1" t="s">
        <v>2016</v>
      </c>
      <c r="B991" s="1" t="s">
        <v>2017</v>
      </c>
      <c r="C991" s="1" t="s">
        <v>56</v>
      </c>
      <c r="D991" s="1"/>
      <c r="E991" s="1" t="s">
        <v>151</v>
      </c>
    </row>
    <row r="992" spans="1:5" x14ac:dyDescent="0.4">
      <c r="A992" s="1" t="s">
        <v>2018</v>
      </c>
      <c r="B992" s="1" t="s">
        <v>2019</v>
      </c>
      <c r="C992" s="1" t="s">
        <v>56</v>
      </c>
      <c r="D992" s="1"/>
      <c r="E992" s="1" t="s">
        <v>185</v>
      </c>
    </row>
    <row r="993" spans="1:9" x14ac:dyDescent="0.4">
      <c r="A993" s="1" t="s">
        <v>2020</v>
      </c>
      <c r="B993" s="1" t="s">
        <v>2021</v>
      </c>
      <c r="C993" s="1" t="s">
        <v>56</v>
      </c>
      <c r="D993" s="1"/>
      <c r="E993" s="1" t="s">
        <v>151</v>
      </c>
    </row>
    <row r="994" spans="1:9" x14ac:dyDescent="0.4">
      <c r="A994" s="1" t="s">
        <v>2022</v>
      </c>
      <c r="B994" s="1" t="s">
        <v>2023</v>
      </c>
      <c r="C994" s="1" t="s">
        <v>56</v>
      </c>
      <c r="D994" s="1"/>
      <c r="E994" s="1" t="s">
        <v>135</v>
      </c>
    </row>
    <row r="995" spans="1:9" x14ac:dyDescent="0.4">
      <c r="A995" s="1" t="s">
        <v>2024</v>
      </c>
      <c r="B995" s="1" t="s">
        <v>2025</v>
      </c>
      <c r="C995" s="1" t="s">
        <v>56</v>
      </c>
      <c r="D995" s="1"/>
      <c r="E995" s="1" t="s">
        <v>148</v>
      </c>
    </row>
    <row r="996" spans="1:9" x14ac:dyDescent="0.4">
      <c r="A996" s="1" t="s">
        <v>2026</v>
      </c>
      <c r="B996" s="1" t="s">
        <v>2027</v>
      </c>
      <c r="C996" s="1" t="s">
        <v>56</v>
      </c>
      <c r="D996" s="1"/>
      <c r="E996" s="1" t="s">
        <v>18</v>
      </c>
    </row>
    <row r="997" spans="1:9" x14ac:dyDescent="0.4">
      <c r="A997" s="1" t="s">
        <v>2028</v>
      </c>
      <c r="B997" s="1" t="s">
        <v>2029</v>
      </c>
      <c r="C997" s="1" t="s">
        <v>56</v>
      </c>
      <c r="D997" s="1"/>
      <c r="E997" s="1" t="s">
        <v>1434</v>
      </c>
    </row>
    <row r="998" spans="1:9" x14ac:dyDescent="0.4">
      <c r="A998" s="1" t="s">
        <v>2030</v>
      </c>
      <c r="B998" s="1" t="s">
        <v>2031</v>
      </c>
      <c r="C998" s="1" t="s">
        <v>56</v>
      </c>
      <c r="D998" s="1"/>
      <c r="E998" s="1" t="s">
        <v>325</v>
      </c>
    </row>
    <row r="999" spans="1:9" x14ac:dyDescent="0.4">
      <c r="A999" s="1" t="s">
        <v>2032</v>
      </c>
      <c r="B999" s="1" t="s">
        <v>2033</v>
      </c>
      <c r="C999" s="1" t="s">
        <v>56</v>
      </c>
      <c r="D999" s="1"/>
      <c r="E999" s="1" t="s">
        <v>138</v>
      </c>
    </row>
    <row r="1000" spans="1:9" x14ac:dyDescent="0.4">
      <c r="A1000" s="1" t="s">
        <v>2034</v>
      </c>
      <c r="B1000" s="1" t="s">
        <v>2035</v>
      </c>
      <c r="C1000" s="1" t="s">
        <v>56</v>
      </c>
      <c r="D1000" s="1"/>
      <c r="E1000" s="1" t="s">
        <v>624</v>
      </c>
    </row>
    <row r="1001" spans="1:9" x14ac:dyDescent="0.4">
      <c r="A1001" s="1" t="s">
        <v>2036</v>
      </c>
      <c r="B1001" s="1" t="s">
        <v>2037</v>
      </c>
      <c r="C1001" s="1" t="s">
        <v>56</v>
      </c>
      <c r="D1001" s="1"/>
      <c r="E1001" s="1" t="s">
        <v>646</v>
      </c>
    </row>
    <row r="1002" spans="1:9" x14ac:dyDescent="0.4">
      <c r="A1002" s="1" t="s">
        <v>2038</v>
      </c>
      <c r="B1002" s="1" t="s">
        <v>2039</v>
      </c>
      <c r="C1002" s="1" t="s">
        <v>56</v>
      </c>
      <c r="D1002" s="1"/>
      <c r="E1002" s="1" t="s">
        <v>151</v>
      </c>
    </row>
    <row r="1003" spans="1:9" x14ac:dyDescent="0.4">
      <c r="A1003" s="1" t="s">
        <v>2040</v>
      </c>
      <c r="B1003" s="1" t="s">
        <v>2041</v>
      </c>
      <c r="C1003" s="1" t="s">
        <v>56</v>
      </c>
      <c r="D1003" s="1"/>
      <c r="E1003" s="1" t="s">
        <v>156</v>
      </c>
    </row>
    <row r="1004" spans="1:9" x14ac:dyDescent="0.4">
      <c r="A1004" s="1" t="s">
        <v>2042</v>
      </c>
      <c r="B1004" s="1" t="s">
        <v>2043</v>
      </c>
      <c r="C1004" s="1" t="s">
        <v>56</v>
      </c>
      <c r="D1004" s="1"/>
      <c r="E1004" s="1" t="s">
        <v>135</v>
      </c>
      <c r="F1004" s="1"/>
      <c r="G1004" s="1"/>
      <c r="H1004" s="1"/>
      <c r="I1004" s="1"/>
    </row>
    <row r="1005" spans="1:9" x14ac:dyDescent="0.4">
      <c r="A1005" s="1" t="s">
        <v>2044</v>
      </c>
      <c r="B1005" s="1" t="s">
        <v>2045</v>
      </c>
      <c r="C1005" s="1" t="s">
        <v>56</v>
      </c>
      <c r="D1005" s="1"/>
      <c r="E1005" s="1" t="s">
        <v>156</v>
      </c>
      <c r="F1005" s="1"/>
      <c r="G1005" s="1"/>
      <c r="H1005" s="1"/>
      <c r="I1005" s="1"/>
    </row>
    <row r="1006" spans="1:9" x14ac:dyDescent="0.4">
      <c r="A1006" s="1" t="s">
        <v>2046</v>
      </c>
      <c r="B1006" s="1" t="s">
        <v>2047</v>
      </c>
      <c r="C1006" s="1" t="s">
        <v>56</v>
      </c>
      <c r="D1006" s="1"/>
      <c r="E1006" s="1" t="s">
        <v>615</v>
      </c>
      <c r="F1006" s="1"/>
      <c r="G1006" s="1"/>
      <c r="H1006" s="1"/>
      <c r="I1006" s="1"/>
    </row>
    <row r="1007" spans="1:9" x14ac:dyDescent="0.4">
      <c r="A1007" s="1" t="s">
        <v>2048</v>
      </c>
      <c r="B1007" s="1" t="s">
        <v>2049</v>
      </c>
      <c r="C1007" s="1" t="s">
        <v>56</v>
      </c>
      <c r="D1007" s="1"/>
      <c r="E1007" s="1" t="s">
        <v>166</v>
      </c>
      <c r="F1007" s="1"/>
      <c r="G1007" s="1"/>
      <c r="H1007" s="1"/>
      <c r="I1007" s="1"/>
    </row>
    <row r="1008" spans="1:9" x14ac:dyDescent="0.4">
      <c r="A1008" s="1" t="s">
        <v>2050</v>
      </c>
      <c r="B1008" s="1" t="s">
        <v>2051</v>
      </c>
      <c r="C1008" s="1" t="s">
        <v>56</v>
      </c>
      <c r="D1008" s="1"/>
      <c r="E1008" s="1" t="s">
        <v>627</v>
      </c>
      <c r="F1008" s="1"/>
      <c r="G1008" s="1"/>
      <c r="H1008" s="1"/>
      <c r="I1008" s="1"/>
    </row>
    <row r="1009" spans="1:9" x14ac:dyDescent="0.4">
      <c r="A1009" s="1" t="s">
        <v>2052</v>
      </c>
      <c r="B1009" s="1" t="s">
        <v>2053</v>
      </c>
      <c r="C1009" s="1" t="s">
        <v>56</v>
      </c>
      <c r="D1009" s="1"/>
      <c r="E1009" s="1" t="s">
        <v>1823</v>
      </c>
      <c r="F1009" s="1"/>
      <c r="G1009" s="1"/>
      <c r="H1009" s="1"/>
      <c r="I1009" s="1"/>
    </row>
    <row r="1010" spans="1:9" x14ac:dyDescent="0.4">
      <c r="A1010" s="1" t="s">
        <v>2054</v>
      </c>
      <c r="B1010" s="1" t="s">
        <v>2055</v>
      </c>
      <c r="C1010" s="1" t="s">
        <v>56</v>
      </c>
      <c r="D1010" s="1"/>
      <c r="E1010" s="1" t="s">
        <v>566</v>
      </c>
      <c r="F1010" s="1"/>
      <c r="G1010" s="1"/>
      <c r="H1010" s="1"/>
      <c r="I1010" s="1"/>
    </row>
    <row r="1011" spans="1:9" x14ac:dyDescent="0.4">
      <c r="A1011" s="1" t="s">
        <v>2056</v>
      </c>
      <c r="B1011" s="1" t="s">
        <v>2057</v>
      </c>
      <c r="C1011" s="1" t="s">
        <v>56</v>
      </c>
      <c r="D1011" s="1"/>
      <c r="E1011" s="1" t="s">
        <v>143</v>
      </c>
      <c r="F1011" s="1"/>
      <c r="G1011" s="1"/>
      <c r="H1011" s="1"/>
      <c r="I1011" s="1"/>
    </row>
    <row r="1012" spans="1:9" x14ac:dyDescent="0.4">
      <c r="A1012" s="1" t="s">
        <v>2058</v>
      </c>
      <c r="B1012" s="1" t="s">
        <v>2059</v>
      </c>
      <c r="C1012" s="1" t="s">
        <v>56</v>
      </c>
      <c r="D1012" s="1"/>
      <c r="E1012" s="1" t="s">
        <v>615</v>
      </c>
      <c r="F1012" s="1"/>
      <c r="G1012" s="1"/>
      <c r="H1012" s="1"/>
      <c r="I1012" s="1"/>
    </row>
    <row r="1013" spans="1:9" x14ac:dyDescent="0.4">
      <c r="A1013" s="1" t="s">
        <v>2060</v>
      </c>
      <c r="B1013" s="1" t="s">
        <v>2061</v>
      </c>
      <c r="C1013" s="1" t="s">
        <v>56</v>
      </c>
      <c r="D1013" s="1"/>
      <c r="E1013" s="1" t="s">
        <v>1434</v>
      </c>
      <c r="F1013" s="1"/>
      <c r="G1013" s="1"/>
      <c r="H1013" s="1"/>
      <c r="I1013" s="1"/>
    </row>
    <row r="1014" spans="1:9" x14ac:dyDescent="0.4">
      <c r="A1014" s="1" t="s">
        <v>2062</v>
      </c>
      <c r="B1014" s="1" t="s">
        <v>2063</v>
      </c>
      <c r="C1014" s="1" t="s">
        <v>56</v>
      </c>
      <c r="D1014" s="1"/>
      <c r="E1014" s="1" t="s">
        <v>615</v>
      </c>
    </row>
    <row r="1015" spans="1:9" x14ac:dyDescent="0.4">
      <c r="A1015" s="1" t="s">
        <v>2064</v>
      </c>
      <c r="B1015" s="1" t="s">
        <v>2065</v>
      </c>
      <c r="C1015" s="1" t="s">
        <v>56</v>
      </c>
      <c r="D1015" s="1"/>
      <c r="E1015" s="1" t="s">
        <v>715</v>
      </c>
    </row>
    <row r="1016" spans="1:9" x14ac:dyDescent="0.4">
      <c r="A1016" s="1" t="s">
        <v>2066</v>
      </c>
      <c r="B1016" s="1" t="s">
        <v>2067</v>
      </c>
      <c r="C1016" s="1" t="s">
        <v>56</v>
      </c>
      <c r="D1016" s="1"/>
      <c r="E1016" s="1" t="s">
        <v>1823</v>
      </c>
    </row>
    <row r="1017" spans="1:9" x14ac:dyDescent="0.4">
      <c r="A1017" s="1" t="s">
        <v>2068</v>
      </c>
      <c r="B1017" s="1" t="s">
        <v>2069</v>
      </c>
      <c r="C1017" s="1" t="s">
        <v>56</v>
      </c>
      <c r="D1017" s="1"/>
      <c r="E1017" s="1" t="s">
        <v>1823</v>
      </c>
    </row>
    <row r="1018" spans="1:9" x14ac:dyDescent="0.4">
      <c r="A1018" s="1" t="s">
        <v>2070</v>
      </c>
      <c r="B1018" s="1" t="s">
        <v>2071</v>
      </c>
      <c r="C1018" s="1" t="s">
        <v>56</v>
      </c>
      <c r="D1018" s="1"/>
      <c r="E1018" s="1" t="s">
        <v>148</v>
      </c>
    </row>
    <row r="1019" spans="1:9" x14ac:dyDescent="0.4">
      <c r="A1019" s="1" t="s">
        <v>2072</v>
      </c>
      <c r="B1019" s="1" t="s">
        <v>2073</v>
      </c>
      <c r="C1019" s="1" t="s">
        <v>56</v>
      </c>
      <c r="D1019" s="1"/>
      <c r="E1019" s="1" t="s">
        <v>166</v>
      </c>
    </row>
    <row r="1020" spans="1:9" x14ac:dyDescent="0.4">
      <c r="A1020" s="1" t="s">
        <v>2074</v>
      </c>
      <c r="B1020" s="1" t="s">
        <v>2075</v>
      </c>
      <c r="C1020" s="1" t="s">
        <v>56</v>
      </c>
      <c r="D1020" s="1"/>
      <c r="E1020" s="1" t="s">
        <v>156</v>
      </c>
    </row>
    <row r="1021" spans="1:9" x14ac:dyDescent="0.4">
      <c r="A1021" s="1" t="s">
        <v>2076</v>
      </c>
      <c r="B1021" s="1" t="s">
        <v>2077</v>
      </c>
      <c r="C1021" s="1" t="s">
        <v>56</v>
      </c>
      <c r="D1021" s="1"/>
      <c r="E1021" s="1" t="s">
        <v>1823</v>
      </c>
    </row>
    <row r="1022" spans="1:9" x14ac:dyDescent="0.4">
      <c r="A1022" s="1" t="s">
        <v>2078</v>
      </c>
      <c r="B1022" s="1" t="s">
        <v>2079</v>
      </c>
      <c r="C1022" s="1" t="s">
        <v>56</v>
      </c>
      <c r="D1022" s="1"/>
      <c r="E1022" s="1" t="s">
        <v>138</v>
      </c>
    </row>
    <row r="1023" spans="1:9" x14ac:dyDescent="0.4">
      <c r="A1023" s="1" t="s">
        <v>2080</v>
      </c>
      <c r="B1023" s="1" t="s">
        <v>2081</v>
      </c>
      <c r="C1023" s="1" t="s">
        <v>56</v>
      </c>
      <c r="D1023" s="1"/>
      <c r="E1023" s="1" t="s">
        <v>615</v>
      </c>
    </row>
    <row r="1024" spans="1:9" x14ac:dyDescent="0.4">
      <c r="A1024" s="1" t="s">
        <v>2082</v>
      </c>
      <c r="B1024" s="1" t="s">
        <v>2083</v>
      </c>
      <c r="C1024" s="1" t="s">
        <v>56</v>
      </c>
      <c r="D1024" s="1"/>
      <c r="E1024" s="1" t="s">
        <v>151</v>
      </c>
      <c r="F1024" s="1"/>
      <c r="G1024" s="1"/>
      <c r="H1024" s="1"/>
      <c r="I1024" s="1"/>
    </row>
    <row r="1025" spans="1:9" x14ac:dyDescent="0.4">
      <c r="A1025" s="1" t="s">
        <v>2084</v>
      </c>
      <c r="B1025" s="1" t="s">
        <v>2085</v>
      </c>
      <c r="C1025" s="1" t="s">
        <v>56</v>
      </c>
      <c r="D1025" s="1"/>
      <c r="E1025" s="1" t="s">
        <v>1823</v>
      </c>
      <c r="F1025" s="1"/>
      <c r="G1025" s="1"/>
      <c r="H1025" s="1"/>
      <c r="I1025" s="1"/>
    </row>
    <row r="1026" spans="1:9" x14ac:dyDescent="0.4">
      <c r="A1026" s="1" t="s">
        <v>2086</v>
      </c>
      <c r="B1026" s="1" t="s">
        <v>2087</v>
      </c>
      <c r="C1026" s="1" t="s">
        <v>56</v>
      </c>
      <c r="D1026" s="1"/>
      <c r="E1026" s="1" t="s">
        <v>1823</v>
      </c>
      <c r="F1026" s="1"/>
      <c r="G1026" s="1"/>
      <c r="H1026" s="1"/>
      <c r="I1026" s="1"/>
    </row>
    <row r="1027" spans="1:9" x14ac:dyDescent="0.4">
      <c r="A1027" s="1" t="s">
        <v>2088</v>
      </c>
      <c r="B1027" s="1" t="s">
        <v>2089</v>
      </c>
      <c r="C1027" s="1" t="s">
        <v>56</v>
      </c>
      <c r="D1027" s="1"/>
      <c r="E1027" s="1" t="s">
        <v>18</v>
      </c>
      <c r="F1027" s="1"/>
      <c r="G1027" s="1"/>
      <c r="H1027" s="1"/>
      <c r="I1027" s="1"/>
    </row>
    <row r="1028" spans="1:9" x14ac:dyDescent="0.4">
      <c r="A1028" s="1" t="s">
        <v>2090</v>
      </c>
      <c r="B1028" s="1" t="s">
        <v>2091</v>
      </c>
      <c r="C1028" s="1" t="s">
        <v>56</v>
      </c>
      <c r="D1028" s="1"/>
      <c r="E1028" s="1" t="s">
        <v>166</v>
      </c>
      <c r="F1028" s="1"/>
      <c r="G1028" s="1"/>
      <c r="H1028" s="1"/>
      <c r="I1028" s="1"/>
    </row>
    <row r="1029" spans="1:9" x14ac:dyDescent="0.4">
      <c r="A1029" s="1" t="s">
        <v>2092</v>
      </c>
      <c r="B1029" s="1" t="s">
        <v>2093</v>
      </c>
      <c r="C1029" s="1" t="s">
        <v>56</v>
      </c>
      <c r="D1029" s="1"/>
      <c r="E1029" s="1" t="s">
        <v>151</v>
      </c>
      <c r="F1029" s="1"/>
      <c r="G1029" s="1"/>
      <c r="H1029" s="1"/>
      <c r="I1029" s="1"/>
    </row>
    <row r="1030" spans="1:9" x14ac:dyDescent="0.4">
      <c r="A1030" s="1" t="s">
        <v>2094</v>
      </c>
      <c r="B1030" s="1" t="s">
        <v>2095</v>
      </c>
      <c r="C1030" s="1" t="s">
        <v>56</v>
      </c>
      <c r="D1030" s="1"/>
      <c r="E1030" s="1" t="s">
        <v>166</v>
      </c>
      <c r="F1030" s="1"/>
      <c r="G1030" s="1"/>
      <c r="H1030" s="1"/>
      <c r="I1030" s="1"/>
    </row>
    <row r="1031" spans="1:9" x14ac:dyDescent="0.4">
      <c r="A1031" s="1" t="s">
        <v>2096</v>
      </c>
      <c r="B1031" s="1" t="s">
        <v>2097</v>
      </c>
      <c r="C1031" s="1" t="s">
        <v>56</v>
      </c>
      <c r="D1031" s="1"/>
      <c r="E1031" s="1" t="s">
        <v>627</v>
      </c>
      <c r="F1031" s="1"/>
      <c r="G1031" s="1"/>
      <c r="H1031" s="1"/>
      <c r="I1031" s="1"/>
    </row>
    <row r="1032" spans="1:9" x14ac:dyDescent="0.4">
      <c r="A1032" s="1" t="s">
        <v>2098</v>
      </c>
      <c r="B1032" s="1" t="s">
        <v>2099</v>
      </c>
      <c r="C1032" s="1" t="s">
        <v>56</v>
      </c>
      <c r="D1032" s="1"/>
      <c r="E1032" s="1" t="s">
        <v>185</v>
      </c>
      <c r="F1032" s="1"/>
      <c r="G1032" s="1"/>
      <c r="H1032" s="1"/>
      <c r="I1032" s="1"/>
    </row>
    <row r="1033" spans="1:9" x14ac:dyDescent="0.4">
      <c r="A1033" s="1" t="s">
        <v>2100</v>
      </c>
      <c r="B1033" s="1" t="s">
        <v>2101</v>
      </c>
      <c r="C1033" s="1" t="s">
        <v>56</v>
      </c>
      <c r="D1033" s="1"/>
      <c r="E1033" s="1" t="s">
        <v>18</v>
      </c>
      <c r="F1033" s="1"/>
      <c r="G1033" s="1"/>
      <c r="H1033" s="1"/>
      <c r="I1033" s="1"/>
    </row>
    <row r="1034" spans="1:9" x14ac:dyDescent="0.4">
      <c r="A1034" s="1" t="s">
        <v>2102</v>
      </c>
      <c r="B1034" s="1" t="s">
        <v>2103</v>
      </c>
      <c r="C1034" s="1" t="s">
        <v>56</v>
      </c>
      <c r="D1034" s="1"/>
      <c r="E1034" s="1" t="s">
        <v>166</v>
      </c>
      <c r="F1034" s="1"/>
      <c r="G1034" s="1"/>
      <c r="H1034" s="1"/>
      <c r="I1034" s="1"/>
    </row>
    <row r="1035" spans="1:9" x14ac:dyDescent="0.4">
      <c r="A1035" s="1" t="s">
        <v>2104</v>
      </c>
      <c r="B1035" s="1" t="s">
        <v>2105</v>
      </c>
      <c r="C1035" s="1" t="s">
        <v>56</v>
      </c>
      <c r="D1035" s="1"/>
      <c r="E1035" s="1" t="s">
        <v>1434</v>
      </c>
      <c r="F1035" s="1"/>
      <c r="G1035" s="1"/>
      <c r="H1035" s="1"/>
      <c r="I1035" s="1"/>
    </row>
    <row r="1036" spans="1:9" x14ac:dyDescent="0.4">
      <c r="A1036" s="1" t="s">
        <v>2106</v>
      </c>
      <c r="B1036" s="1" t="s">
        <v>2107</v>
      </c>
      <c r="C1036" s="1" t="s">
        <v>56</v>
      </c>
      <c r="D1036" s="1"/>
      <c r="E1036" s="1" t="s">
        <v>566</v>
      </c>
      <c r="F1036" s="1"/>
      <c r="G1036" s="1"/>
      <c r="H1036" s="1"/>
      <c r="I1036" s="1"/>
    </row>
    <row r="1037" spans="1:9" x14ac:dyDescent="0.4">
      <c r="A1037" s="1" t="s">
        <v>2108</v>
      </c>
      <c r="B1037" s="1" t="s">
        <v>2109</v>
      </c>
      <c r="C1037" s="1" t="s">
        <v>56</v>
      </c>
      <c r="D1037" s="1"/>
      <c r="E1037" s="1" t="s">
        <v>1823</v>
      </c>
      <c r="F1037" s="1"/>
      <c r="G1037" s="1"/>
      <c r="H1037" s="1"/>
      <c r="I1037" s="1"/>
    </row>
    <row r="1038" spans="1:9" x14ac:dyDescent="0.4">
      <c r="A1038" s="1" t="s">
        <v>2110</v>
      </c>
      <c r="B1038" s="1" t="s">
        <v>2111</v>
      </c>
      <c r="C1038" s="1" t="s">
        <v>56</v>
      </c>
      <c r="D1038" s="1"/>
      <c r="E1038" s="1" t="s">
        <v>627</v>
      </c>
      <c r="F1038" s="1"/>
      <c r="G1038" s="1"/>
      <c r="H1038" s="1"/>
      <c r="I1038" s="1"/>
    </row>
    <row r="1039" spans="1:9" x14ac:dyDescent="0.4">
      <c r="A1039" s="1" t="s">
        <v>2112</v>
      </c>
      <c r="B1039" s="1" t="s">
        <v>2113</v>
      </c>
      <c r="C1039" s="1" t="s">
        <v>56</v>
      </c>
      <c r="D1039" s="1"/>
      <c r="E1039" s="1" t="s">
        <v>615</v>
      </c>
      <c r="F1039" s="1"/>
      <c r="G1039" s="1"/>
      <c r="H1039" s="1"/>
      <c r="I1039" s="1"/>
    </row>
    <row r="1040" spans="1:9" x14ac:dyDescent="0.4">
      <c r="A1040" s="1" t="s">
        <v>2114</v>
      </c>
      <c r="B1040" s="1" t="s">
        <v>2115</v>
      </c>
      <c r="C1040" s="1" t="s">
        <v>56</v>
      </c>
      <c r="D1040" s="1"/>
      <c r="E1040" s="1" t="s">
        <v>151</v>
      </c>
      <c r="F1040" s="1"/>
      <c r="G1040" s="1"/>
      <c r="H1040" s="1"/>
      <c r="I1040" s="1"/>
    </row>
    <row r="1041" spans="1:9" x14ac:dyDescent="0.4">
      <c r="A1041" s="1" t="s">
        <v>2116</v>
      </c>
      <c r="B1041" s="1" t="s">
        <v>2117</v>
      </c>
      <c r="C1041" s="1" t="s">
        <v>56</v>
      </c>
      <c r="D1041" s="1"/>
      <c r="E1041" s="1" t="s">
        <v>18</v>
      </c>
      <c r="F1041" s="1"/>
      <c r="G1041" s="1"/>
      <c r="H1041" s="1"/>
      <c r="I1041" s="1"/>
    </row>
    <row r="1042" spans="1:9" x14ac:dyDescent="0.4">
      <c r="A1042" s="1" t="s">
        <v>2118</v>
      </c>
      <c r="B1042" s="1" t="s">
        <v>2119</v>
      </c>
      <c r="C1042" s="1" t="s">
        <v>56</v>
      </c>
      <c r="D1042" s="1"/>
      <c r="E1042" s="1" t="s">
        <v>135</v>
      </c>
      <c r="F1042" s="1"/>
      <c r="G1042" s="1"/>
      <c r="H1042" s="1"/>
      <c r="I1042" s="1"/>
    </row>
    <row r="1043" spans="1:9" x14ac:dyDescent="0.4">
      <c r="A1043" s="1" t="s">
        <v>2120</v>
      </c>
      <c r="B1043" s="1" t="s">
        <v>2121</v>
      </c>
      <c r="C1043" s="1" t="s">
        <v>56</v>
      </c>
      <c r="D1043" s="1"/>
      <c r="E1043" s="1" t="s">
        <v>566</v>
      </c>
      <c r="F1043" s="1"/>
      <c r="G1043" s="1"/>
      <c r="H1043" s="1"/>
      <c r="I1043" s="1"/>
    </row>
    <row r="1044" spans="1:9" x14ac:dyDescent="0.4">
      <c r="A1044" s="1" t="s">
        <v>2122</v>
      </c>
      <c r="B1044" s="1" t="s">
        <v>2123</v>
      </c>
      <c r="C1044" s="1" t="s">
        <v>56</v>
      </c>
      <c r="D1044" s="1"/>
      <c r="E1044" s="1" t="s">
        <v>18</v>
      </c>
    </row>
    <row r="1045" spans="1:9" x14ac:dyDescent="0.4">
      <c r="A1045" s="1" t="s">
        <v>2124</v>
      </c>
      <c r="B1045" s="1" t="s">
        <v>2125</v>
      </c>
      <c r="C1045" s="1" t="s">
        <v>56</v>
      </c>
      <c r="D1045" s="1"/>
      <c r="E1045" s="1" t="s">
        <v>161</v>
      </c>
    </row>
    <row r="1046" spans="1:9" x14ac:dyDescent="0.4">
      <c r="A1046" s="1" t="s">
        <v>2126</v>
      </c>
      <c r="B1046" s="1" t="s">
        <v>2127</v>
      </c>
      <c r="C1046" s="1" t="s">
        <v>56</v>
      </c>
      <c r="D1046" s="1"/>
      <c r="E1046" s="1" t="s">
        <v>715</v>
      </c>
    </row>
    <row r="1047" spans="1:9" x14ac:dyDescent="0.4">
      <c r="A1047" s="1" t="s">
        <v>2128</v>
      </c>
      <c r="B1047" s="1" t="s">
        <v>2129</v>
      </c>
      <c r="C1047" s="1" t="s">
        <v>56</v>
      </c>
      <c r="D1047" s="1"/>
      <c r="E1047" s="1" t="s">
        <v>185</v>
      </c>
    </row>
    <row r="1048" spans="1:9" x14ac:dyDescent="0.4">
      <c r="A1048" s="1" t="s">
        <v>2130</v>
      </c>
      <c r="B1048" s="1" t="s">
        <v>2131</v>
      </c>
      <c r="C1048" s="1" t="s">
        <v>56</v>
      </c>
      <c r="D1048" s="1"/>
      <c r="E1048" s="1" t="s">
        <v>151</v>
      </c>
    </row>
    <row r="1049" spans="1:9" x14ac:dyDescent="0.4">
      <c r="A1049" s="1" t="s">
        <v>2132</v>
      </c>
      <c r="B1049" s="1" t="s">
        <v>2133</v>
      </c>
      <c r="C1049" s="1" t="s">
        <v>56</v>
      </c>
      <c r="D1049" s="1"/>
      <c r="E1049" s="1" t="s">
        <v>1823</v>
      </c>
    </row>
    <row r="1050" spans="1:9" x14ac:dyDescent="0.4">
      <c r="A1050" s="1" t="s">
        <v>2134</v>
      </c>
      <c r="B1050" s="1" t="s">
        <v>2135</v>
      </c>
      <c r="C1050" s="1" t="s">
        <v>56</v>
      </c>
      <c r="D1050" s="1"/>
      <c r="E1050" s="1" t="s">
        <v>166</v>
      </c>
    </row>
    <row r="1051" spans="1:9" x14ac:dyDescent="0.4">
      <c r="A1051" s="1" t="s">
        <v>2136</v>
      </c>
      <c r="B1051" s="1" t="s">
        <v>2137</v>
      </c>
      <c r="C1051" s="1" t="s">
        <v>56</v>
      </c>
      <c r="D1051" s="1"/>
      <c r="E1051" s="1" t="s">
        <v>148</v>
      </c>
    </row>
    <row r="1052" spans="1:9" x14ac:dyDescent="0.4">
      <c r="A1052" s="1" t="s">
        <v>2138</v>
      </c>
      <c r="B1052" s="1" t="s">
        <v>2139</v>
      </c>
      <c r="C1052" s="1" t="s">
        <v>56</v>
      </c>
      <c r="D1052" s="1"/>
      <c r="E1052" s="1" t="s">
        <v>151</v>
      </c>
    </row>
    <row r="1053" spans="1:9" x14ac:dyDescent="0.4">
      <c r="A1053" s="1" t="s">
        <v>2140</v>
      </c>
      <c r="B1053" s="1" t="s">
        <v>2141</v>
      </c>
      <c r="C1053" s="1" t="s">
        <v>56</v>
      </c>
      <c r="D1053" s="1"/>
      <c r="E1053" s="1" t="s">
        <v>18</v>
      </c>
    </row>
    <row r="1054" spans="1:9" x14ac:dyDescent="0.4">
      <c r="A1054" s="1" t="s">
        <v>2142</v>
      </c>
      <c r="B1054" s="1" t="s">
        <v>2143</v>
      </c>
      <c r="C1054" s="1" t="s">
        <v>56</v>
      </c>
      <c r="D1054" s="1"/>
      <c r="E1054" s="1" t="s">
        <v>624</v>
      </c>
      <c r="F1054" s="1"/>
      <c r="G1054" s="1"/>
      <c r="H1054" s="1"/>
      <c r="I1054" s="1"/>
    </row>
    <row r="1055" spans="1:9" x14ac:dyDescent="0.4">
      <c r="A1055" s="1" t="s">
        <v>2144</v>
      </c>
      <c r="B1055" s="1" t="s">
        <v>2145</v>
      </c>
      <c r="C1055" s="1" t="s">
        <v>56</v>
      </c>
      <c r="D1055" s="1"/>
      <c r="E1055" s="1" t="s">
        <v>18</v>
      </c>
      <c r="F1055" s="1"/>
      <c r="G1055" s="1"/>
      <c r="H1055" s="1"/>
      <c r="I1055" s="1"/>
    </row>
    <row r="1056" spans="1:9" x14ac:dyDescent="0.4">
      <c r="A1056" s="1" t="s">
        <v>2146</v>
      </c>
      <c r="B1056" s="1" t="s">
        <v>2147</v>
      </c>
      <c r="C1056" s="1" t="s">
        <v>56</v>
      </c>
      <c r="D1056" s="1"/>
      <c r="E1056" s="1" t="s">
        <v>138</v>
      </c>
      <c r="F1056" s="1"/>
      <c r="G1056" s="1"/>
      <c r="H1056" s="1"/>
      <c r="I1056" s="1"/>
    </row>
    <row r="1057" spans="1:9" x14ac:dyDescent="0.4">
      <c r="A1057" s="1" t="s">
        <v>2148</v>
      </c>
      <c r="B1057" s="1" t="s">
        <v>2149</v>
      </c>
      <c r="C1057" s="1" t="s">
        <v>56</v>
      </c>
      <c r="D1057" s="1"/>
      <c r="E1057" s="1" t="s">
        <v>1434</v>
      </c>
      <c r="F1057" s="1"/>
      <c r="G1057" s="1"/>
      <c r="H1057" s="1"/>
      <c r="I1057" s="1"/>
    </row>
    <row r="1058" spans="1:9" x14ac:dyDescent="0.4">
      <c r="A1058" s="1" t="s">
        <v>2150</v>
      </c>
      <c r="B1058" s="1" t="s">
        <v>2151</v>
      </c>
      <c r="C1058" s="1" t="s">
        <v>56</v>
      </c>
      <c r="D1058" s="1"/>
      <c r="E1058" s="1" t="s">
        <v>646</v>
      </c>
      <c r="F1058" s="1"/>
      <c r="G1058" s="1"/>
      <c r="H1058" s="1"/>
      <c r="I1058" s="1"/>
    </row>
    <row r="1059" spans="1:9" x14ac:dyDescent="0.4">
      <c r="A1059" s="1" t="s">
        <v>2152</v>
      </c>
      <c r="B1059" s="1" t="s">
        <v>2153</v>
      </c>
      <c r="C1059" s="1" t="s">
        <v>56</v>
      </c>
      <c r="D1059" s="1"/>
      <c r="E1059" s="1" t="s">
        <v>330</v>
      </c>
      <c r="F1059" s="1"/>
      <c r="G1059" s="1"/>
      <c r="H1059" s="1"/>
      <c r="I1059" s="1"/>
    </row>
    <row r="1060" spans="1:9" x14ac:dyDescent="0.4">
      <c r="A1060" s="1" t="s">
        <v>2154</v>
      </c>
      <c r="B1060" s="1" t="s">
        <v>2155</v>
      </c>
      <c r="C1060" s="1" t="s">
        <v>6</v>
      </c>
      <c r="D1060" s="1" t="s">
        <v>21</v>
      </c>
      <c r="E1060" s="1" t="s">
        <v>330</v>
      </c>
      <c r="F1060" s="1"/>
      <c r="G1060" s="1"/>
      <c r="H1060" s="1"/>
      <c r="I1060" s="1"/>
    </row>
    <row r="1061" spans="1:9" x14ac:dyDescent="0.4">
      <c r="A1061" s="1" t="s">
        <v>2156</v>
      </c>
      <c r="B1061" s="1" t="s">
        <v>2157</v>
      </c>
      <c r="C1061" s="1" t="s">
        <v>6</v>
      </c>
      <c r="D1061" s="1" t="s">
        <v>13</v>
      </c>
      <c r="E1061" s="1" t="s">
        <v>330</v>
      </c>
      <c r="F1061" s="1"/>
      <c r="G1061" s="1"/>
      <c r="H1061" s="1"/>
      <c r="I1061" s="1"/>
    </row>
    <row r="1062" spans="1:9" x14ac:dyDescent="0.4">
      <c r="A1062" s="1" t="s">
        <v>2158</v>
      </c>
      <c r="B1062" s="1" t="s">
        <v>2159</v>
      </c>
      <c r="C1062" s="1" t="s">
        <v>56</v>
      </c>
      <c r="D1062" s="1"/>
      <c r="E1062" s="1" t="s">
        <v>330</v>
      </c>
      <c r="F1062" s="1"/>
      <c r="G1062" s="1"/>
      <c r="H1062" s="1"/>
      <c r="I1062" s="1"/>
    </row>
    <row r="1063" spans="1:9" x14ac:dyDescent="0.4">
      <c r="A1063" s="1" t="s">
        <v>2160</v>
      </c>
      <c r="B1063" s="1" t="s">
        <v>2161</v>
      </c>
      <c r="C1063" s="1" t="s">
        <v>56</v>
      </c>
      <c r="D1063" s="1"/>
      <c r="E1063" s="1" t="s">
        <v>330</v>
      </c>
      <c r="F1063" s="1"/>
      <c r="G1063" s="1"/>
      <c r="H1063" s="1"/>
      <c r="I1063" s="1"/>
    </row>
    <row r="1064" spans="1:9" x14ac:dyDescent="0.4">
      <c r="A1064" s="1" t="s">
        <v>2162</v>
      </c>
      <c r="B1064" s="1" t="s">
        <v>2163</v>
      </c>
      <c r="C1064" s="1" t="s">
        <v>56</v>
      </c>
      <c r="D1064" s="1"/>
      <c r="E1064" s="1" t="s">
        <v>330</v>
      </c>
    </row>
    <row r="1065" spans="1:9" x14ac:dyDescent="0.4">
      <c r="A1065" s="1" t="s">
        <v>2164</v>
      </c>
      <c r="B1065" s="1" t="s">
        <v>2165</v>
      </c>
      <c r="C1065" s="1" t="s">
        <v>56</v>
      </c>
      <c r="D1065" s="1"/>
      <c r="E1065" s="1" t="s">
        <v>156</v>
      </c>
    </row>
    <row r="1066" spans="1:9" x14ac:dyDescent="0.4">
      <c r="A1066" s="1" t="s">
        <v>2166</v>
      </c>
      <c r="B1066" s="1" t="s">
        <v>2167</v>
      </c>
      <c r="C1066" s="1" t="s">
        <v>56</v>
      </c>
      <c r="D1066" s="1"/>
      <c r="E1066" s="1" t="s">
        <v>156</v>
      </c>
    </row>
    <row r="1067" spans="1:9" x14ac:dyDescent="0.4">
      <c r="A1067" s="1" t="s">
        <v>2168</v>
      </c>
      <c r="B1067" s="1" t="s">
        <v>2169</v>
      </c>
      <c r="C1067" s="1" t="s">
        <v>56</v>
      </c>
      <c r="D1067" s="1"/>
      <c r="E1067" s="1" t="s">
        <v>156</v>
      </c>
    </row>
    <row r="1068" spans="1:9" x14ac:dyDescent="0.4">
      <c r="A1068" s="1" t="s">
        <v>2170</v>
      </c>
      <c r="B1068" s="1" t="s">
        <v>2171</v>
      </c>
      <c r="C1068" s="1" t="s">
        <v>56</v>
      </c>
      <c r="D1068" s="1"/>
      <c r="E1068" s="1" t="s">
        <v>156</v>
      </c>
    </row>
    <row r="1069" spans="1:9" x14ac:dyDescent="0.4">
      <c r="A1069" s="1" t="s">
        <v>2172</v>
      </c>
      <c r="B1069" s="1" t="s">
        <v>2173</v>
      </c>
      <c r="C1069" s="1" t="s">
        <v>56</v>
      </c>
      <c r="D1069" s="1"/>
      <c r="E1069" s="1" t="s">
        <v>156</v>
      </c>
    </row>
    <row r="1070" spans="1:9" x14ac:dyDescent="0.4">
      <c r="A1070" s="1" t="s">
        <v>2174</v>
      </c>
      <c r="B1070" s="1" t="s">
        <v>2175</v>
      </c>
      <c r="C1070" s="1" t="s">
        <v>56</v>
      </c>
      <c r="D1070" s="1"/>
      <c r="E1070" s="1" t="s">
        <v>156</v>
      </c>
    </row>
    <row r="1071" spans="1:9" x14ac:dyDescent="0.4">
      <c r="A1071" s="1" t="s">
        <v>2176</v>
      </c>
      <c r="B1071" s="1" t="s">
        <v>2177</v>
      </c>
      <c r="C1071" s="1" t="s">
        <v>56</v>
      </c>
      <c r="D1071" s="1"/>
      <c r="E1071" s="1" t="s">
        <v>156</v>
      </c>
    </row>
    <row r="1072" spans="1:9" x14ac:dyDescent="0.4">
      <c r="A1072" s="1" t="s">
        <v>2178</v>
      </c>
      <c r="B1072" s="1" t="s">
        <v>2179</v>
      </c>
      <c r="C1072" s="1" t="s">
        <v>56</v>
      </c>
      <c r="D1072" s="1"/>
      <c r="E1072" s="1" t="s">
        <v>156</v>
      </c>
    </row>
    <row r="1073" spans="1:5" x14ac:dyDescent="0.4">
      <c r="A1073" s="1" t="s">
        <v>2180</v>
      </c>
      <c r="B1073" s="1" t="s">
        <v>2181</v>
      </c>
      <c r="C1073" s="1" t="s">
        <v>56</v>
      </c>
      <c r="D1073" s="1"/>
      <c r="E1073" s="1" t="s">
        <v>2206</v>
      </c>
    </row>
    <row r="1074" spans="1:5" x14ac:dyDescent="0.4">
      <c r="A1074" s="1" t="s">
        <v>2182</v>
      </c>
      <c r="B1074" s="1" t="s">
        <v>2183</v>
      </c>
      <c r="C1074" s="1" t="s">
        <v>6</v>
      </c>
      <c r="D1074" s="1" t="s">
        <v>16</v>
      </c>
      <c r="E1074" s="1" t="s">
        <v>156</v>
      </c>
    </row>
    <row r="1075" spans="1:5" x14ac:dyDescent="0.4">
      <c r="A1075" s="1" t="s">
        <v>2184</v>
      </c>
      <c r="B1075" s="1" t="s">
        <v>2185</v>
      </c>
      <c r="C1075" s="1" t="s">
        <v>56</v>
      </c>
      <c r="D1075" s="1"/>
      <c r="E1075" s="1" t="s">
        <v>156</v>
      </c>
    </row>
    <row r="1076" spans="1:5" x14ac:dyDescent="0.4">
      <c r="A1076" s="1" t="s">
        <v>2186</v>
      </c>
      <c r="B1076" s="1" t="s">
        <v>2187</v>
      </c>
      <c r="C1076" s="1" t="s">
        <v>56</v>
      </c>
      <c r="D1076" s="1"/>
      <c r="E1076" s="1" t="s">
        <v>156</v>
      </c>
    </row>
    <row r="1077" spans="1:5" x14ac:dyDescent="0.4">
      <c r="A1077" s="1" t="s">
        <v>2188</v>
      </c>
      <c r="B1077" s="1" t="s">
        <v>2189</v>
      </c>
      <c r="C1077" s="1" t="s">
        <v>56</v>
      </c>
      <c r="D1077" s="1"/>
      <c r="E1077" s="1" t="s">
        <v>156</v>
      </c>
    </row>
    <row r="1078" spans="1:5" x14ac:dyDescent="0.4">
      <c r="A1078" s="1" t="s">
        <v>2190</v>
      </c>
      <c r="B1078" s="1" t="s">
        <v>2191</v>
      </c>
      <c r="C1078" s="1" t="s">
        <v>56</v>
      </c>
      <c r="D1078" s="1"/>
      <c r="E1078" s="1" t="s">
        <v>2206</v>
      </c>
    </row>
    <row r="1079" spans="1:5" x14ac:dyDescent="0.4">
      <c r="A1079" s="1" t="s">
        <v>2192</v>
      </c>
      <c r="B1079" s="1" t="s">
        <v>2193</v>
      </c>
      <c r="C1079" s="1" t="s">
        <v>56</v>
      </c>
      <c r="D1079" s="1"/>
      <c r="E1079" s="1" t="s">
        <v>156</v>
      </c>
    </row>
    <row r="1080" spans="1:5" x14ac:dyDescent="0.4">
      <c r="A1080" s="1" t="s">
        <v>2194</v>
      </c>
      <c r="B1080" s="1" t="s">
        <v>2195</v>
      </c>
      <c r="C1080" s="1" t="s">
        <v>56</v>
      </c>
      <c r="D1080" s="1"/>
      <c r="E1080" s="1" t="s">
        <v>156</v>
      </c>
    </row>
    <row r="1081" spans="1:5" x14ac:dyDescent="0.4">
      <c r="A1081" t="s">
        <v>2226</v>
      </c>
      <c r="B1081" t="s">
        <v>2227</v>
      </c>
      <c r="C1081" t="s">
        <v>6</v>
      </c>
      <c r="D1081" t="s">
        <v>13</v>
      </c>
      <c r="E1081" t="s">
        <v>2256</v>
      </c>
    </row>
    <row r="1082" spans="1:5" x14ac:dyDescent="0.4">
      <c r="A1082" t="s">
        <v>2228</v>
      </c>
      <c r="B1082" t="s">
        <v>2229</v>
      </c>
      <c r="C1082" t="s">
        <v>6</v>
      </c>
      <c r="D1082" t="s">
        <v>30</v>
      </c>
      <c r="E1082" t="s">
        <v>2256</v>
      </c>
    </row>
    <row r="1083" spans="1:5" x14ac:dyDescent="0.4">
      <c r="A1083" t="s">
        <v>2230</v>
      </c>
      <c r="B1083" t="s">
        <v>2231</v>
      </c>
      <c r="C1083" t="s">
        <v>6</v>
      </c>
      <c r="D1083" t="s">
        <v>13</v>
      </c>
      <c r="E1083" t="s">
        <v>2256</v>
      </c>
    </row>
    <row r="1084" spans="1:5" x14ac:dyDescent="0.4">
      <c r="A1084" t="s">
        <v>2232</v>
      </c>
      <c r="B1084" t="s">
        <v>2233</v>
      </c>
      <c r="C1084" t="s">
        <v>6</v>
      </c>
      <c r="D1084" t="s">
        <v>10</v>
      </c>
      <c r="E1084" t="s">
        <v>2256</v>
      </c>
    </row>
    <row r="1085" spans="1:5" x14ac:dyDescent="0.4">
      <c r="A1085" t="s">
        <v>2234</v>
      </c>
      <c r="B1085" t="s">
        <v>2235</v>
      </c>
      <c r="C1085" t="s">
        <v>6</v>
      </c>
      <c r="D1085" t="s">
        <v>33</v>
      </c>
      <c r="E1085" t="s">
        <v>2256</v>
      </c>
    </row>
    <row r="1086" spans="1:5" x14ac:dyDescent="0.4">
      <c r="A1086" t="s">
        <v>2236</v>
      </c>
      <c r="B1086" t="s">
        <v>2237</v>
      </c>
      <c r="C1086" t="s">
        <v>39</v>
      </c>
      <c r="E1086" t="s">
        <v>2256</v>
      </c>
    </row>
    <row r="1087" spans="1:5" x14ac:dyDescent="0.4">
      <c r="A1087" t="s">
        <v>2238</v>
      </c>
      <c r="B1087" t="s">
        <v>2239</v>
      </c>
      <c r="C1087" t="s">
        <v>39</v>
      </c>
      <c r="E1087" t="s">
        <v>2256</v>
      </c>
    </row>
    <row r="1088" spans="1:5" x14ac:dyDescent="0.4">
      <c r="A1088" t="s">
        <v>2240</v>
      </c>
      <c r="B1088" t="s">
        <v>2241</v>
      </c>
      <c r="C1088" t="s">
        <v>39</v>
      </c>
      <c r="E1088" t="s">
        <v>2256</v>
      </c>
    </row>
    <row r="1089" spans="1:5" x14ac:dyDescent="0.4">
      <c r="A1089" t="s">
        <v>2242</v>
      </c>
      <c r="B1089" t="s">
        <v>2243</v>
      </c>
      <c r="C1089" t="s">
        <v>39</v>
      </c>
      <c r="E1089" t="s">
        <v>2256</v>
      </c>
    </row>
    <row r="1090" spans="1:5" x14ac:dyDescent="0.4">
      <c r="A1090" t="s">
        <v>2244</v>
      </c>
      <c r="B1090" t="s">
        <v>2245</v>
      </c>
      <c r="C1090" t="s">
        <v>39</v>
      </c>
      <c r="E1090" t="s">
        <v>2256</v>
      </c>
    </row>
    <row r="1091" spans="1:5" x14ac:dyDescent="0.4">
      <c r="A1091" t="s">
        <v>2246</v>
      </c>
      <c r="B1091" t="s">
        <v>2247</v>
      </c>
      <c r="C1091" t="s">
        <v>56</v>
      </c>
      <c r="E1091" t="s">
        <v>2256</v>
      </c>
    </row>
    <row r="1092" spans="1:5" x14ac:dyDescent="0.4">
      <c r="A1092" t="s">
        <v>2248</v>
      </c>
      <c r="B1092" t="s">
        <v>2249</v>
      </c>
      <c r="C1092" t="s">
        <v>56</v>
      </c>
      <c r="E1092" t="s">
        <v>2256</v>
      </c>
    </row>
    <row r="1093" spans="1:5" x14ac:dyDescent="0.4">
      <c r="A1093" t="s">
        <v>2250</v>
      </c>
      <c r="B1093" t="s">
        <v>2251</v>
      </c>
      <c r="C1093" t="s">
        <v>56</v>
      </c>
      <c r="E1093" t="s">
        <v>2256</v>
      </c>
    </row>
    <row r="1094" spans="1:5" x14ac:dyDescent="0.4">
      <c r="A1094" t="s">
        <v>2252</v>
      </c>
      <c r="B1094" t="s">
        <v>2253</v>
      </c>
      <c r="C1094" t="s">
        <v>56</v>
      </c>
      <c r="E1094" t="s">
        <v>2256</v>
      </c>
    </row>
    <row r="1095" spans="1:5" x14ac:dyDescent="0.4">
      <c r="A1095" t="s">
        <v>2254</v>
      </c>
      <c r="B1095" t="s">
        <v>2255</v>
      </c>
      <c r="C1095" t="s">
        <v>56</v>
      </c>
      <c r="E1095" t="s">
        <v>2256</v>
      </c>
    </row>
    <row r="1096" spans="1:5" x14ac:dyDescent="0.4">
      <c r="A1096" t="s">
        <v>2257</v>
      </c>
      <c r="B1096" t="s">
        <v>2258</v>
      </c>
      <c r="C1096" t="s">
        <v>6</v>
      </c>
      <c r="D1096" t="s">
        <v>30</v>
      </c>
      <c r="E1096" t="s">
        <v>2256</v>
      </c>
    </row>
    <row r="1097" spans="1:5" x14ac:dyDescent="0.4">
      <c r="A1097" t="s">
        <v>2259</v>
      </c>
      <c r="B1097" t="s">
        <v>2260</v>
      </c>
      <c r="C1097" t="s">
        <v>6</v>
      </c>
      <c r="D1097" t="s">
        <v>33</v>
      </c>
      <c r="E1097" t="s">
        <v>2256</v>
      </c>
    </row>
    <row r="1098" spans="1:5" x14ac:dyDescent="0.4">
      <c r="A1098" t="s">
        <v>2261</v>
      </c>
      <c r="B1098" t="s">
        <v>2262</v>
      </c>
      <c r="C1098" t="s">
        <v>6</v>
      </c>
      <c r="D1098" t="s">
        <v>1126</v>
      </c>
      <c r="E1098" t="s">
        <v>2256</v>
      </c>
    </row>
    <row r="1099" spans="1:5" x14ac:dyDescent="0.4">
      <c r="A1099" t="s">
        <v>2263</v>
      </c>
      <c r="B1099" t="s">
        <v>2264</v>
      </c>
      <c r="C1099" t="s">
        <v>6</v>
      </c>
      <c r="D1099" t="s">
        <v>30</v>
      </c>
      <c r="E1099" t="s">
        <v>2256</v>
      </c>
    </row>
    <row r="1100" spans="1:5" x14ac:dyDescent="0.4">
      <c r="A1100" t="s">
        <v>2265</v>
      </c>
      <c r="B1100" t="s">
        <v>2266</v>
      </c>
      <c r="C1100" t="s">
        <v>6</v>
      </c>
      <c r="D1100" t="s">
        <v>33</v>
      </c>
      <c r="E1100" t="s">
        <v>2256</v>
      </c>
    </row>
    <row r="1101" spans="1:5" x14ac:dyDescent="0.4">
      <c r="A1101" t="s">
        <v>2267</v>
      </c>
      <c r="B1101" t="s">
        <v>2268</v>
      </c>
      <c r="C1101" t="s">
        <v>39</v>
      </c>
      <c r="E1101" t="s">
        <v>2256</v>
      </c>
    </row>
    <row r="1102" spans="1:5" x14ac:dyDescent="0.4">
      <c r="A1102" t="s">
        <v>2269</v>
      </c>
      <c r="B1102" t="s">
        <v>2270</v>
      </c>
      <c r="C1102" t="s">
        <v>39</v>
      </c>
      <c r="E1102" t="s">
        <v>2256</v>
      </c>
    </row>
    <row r="1103" spans="1:5" x14ac:dyDescent="0.4">
      <c r="A1103" t="s">
        <v>2271</v>
      </c>
      <c r="B1103" t="s">
        <v>2272</v>
      </c>
      <c r="C1103" t="s">
        <v>39</v>
      </c>
      <c r="E1103" t="s">
        <v>2256</v>
      </c>
    </row>
    <row r="1104" spans="1:5" x14ac:dyDescent="0.4">
      <c r="A1104" t="s">
        <v>2273</v>
      </c>
      <c r="B1104" t="s">
        <v>2274</v>
      </c>
      <c r="C1104" t="s">
        <v>39</v>
      </c>
      <c r="E1104" t="s">
        <v>2256</v>
      </c>
    </row>
    <row r="1105" spans="1:5" x14ac:dyDescent="0.4">
      <c r="A1105" t="s">
        <v>2275</v>
      </c>
      <c r="B1105" t="s">
        <v>2276</v>
      </c>
      <c r="C1105" t="s">
        <v>39</v>
      </c>
      <c r="E1105" t="s">
        <v>2256</v>
      </c>
    </row>
    <row r="1106" spans="1:5" x14ac:dyDescent="0.4">
      <c r="A1106" t="s">
        <v>2277</v>
      </c>
      <c r="B1106" t="s">
        <v>2278</v>
      </c>
      <c r="C1106" t="s">
        <v>56</v>
      </c>
      <c r="E1106" t="s">
        <v>2256</v>
      </c>
    </row>
    <row r="1107" spans="1:5" x14ac:dyDescent="0.4">
      <c r="A1107" t="s">
        <v>2279</v>
      </c>
      <c r="B1107" t="s">
        <v>2280</v>
      </c>
      <c r="C1107" t="s">
        <v>56</v>
      </c>
      <c r="E1107" t="s">
        <v>2256</v>
      </c>
    </row>
    <row r="1108" spans="1:5" x14ac:dyDescent="0.4">
      <c r="A1108" t="s">
        <v>2281</v>
      </c>
      <c r="B1108" t="s">
        <v>2282</v>
      </c>
      <c r="C1108" t="s">
        <v>56</v>
      </c>
      <c r="E1108" t="s">
        <v>2256</v>
      </c>
    </row>
    <row r="1109" spans="1:5" x14ac:dyDescent="0.4">
      <c r="A1109" t="s">
        <v>2283</v>
      </c>
      <c r="B1109" t="s">
        <v>2284</v>
      </c>
      <c r="C1109" t="s">
        <v>56</v>
      </c>
      <c r="E1109" t="s">
        <v>2256</v>
      </c>
    </row>
    <row r="1110" spans="1:5" x14ac:dyDescent="0.4">
      <c r="A1110" t="s">
        <v>2285</v>
      </c>
      <c r="B1110" t="s">
        <v>2286</v>
      </c>
      <c r="C1110" t="s">
        <v>56</v>
      </c>
      <c r="E1110" t="s">
        <v>2256</v>
      </c>
    </row>
    <row r="1111" spans="1:5" x14ac:dyDescent="0.4">
      <c r="A1111" t="s">
        <v>2287</v>
      </c>
      <c r="B1111" t="s">
        <v>2288</v>
      </c>
      <c r="C1111" t="s">
        <v>6</v>
      </c>
      <c r="D1111" t="s">
        <v>10</v>
      </c>
      <c r="E1111" t="s">
        <v>2256</v>
      </c>
    </row>
    <row r="1112" spans="1:5" x14ac:dyDescent="0.4">
      <c r="A1112" t="s">
        <v>2289</v>
      </c>
      <c r="B1112" t="s">
        <v>2290</v>
      </c>
      <c r="C1112" t="s">
        <v>6</v>
      </c>
      <c r="D1112" t="s">
        <v>13</v>
      </c>
      <c r="E1112" t="s">
        <v>2256</v>
      </c>
    </row>
    <row r="1113" spans="1:5" x14ac:dyDescent="0.4">
      <c r="A1113" t="s">
        <v>2291</v>
      </c>
      <c r="B1113" t="s">
        <v>2292</v>
      </c>
      <c r="C1113" t="s">
        <v>6</v>
      </c>
      <c r="D1113" t="s">
        <v>10</v>
      </c>
      <c r="E1113" t="s">
        <v>2256</v>
      </c>
    </row>
    <row r="1114" spans="1:5" x14ac:dyDescent="0.4">
      <c r="A1114" t="s">
        <v>2293</v>
      </c>
      <c r="B1114" t="s">
        <v>2294</v>
      </c>
      <c r="C1114" t="s">
        <v>6</v>
      </c>
      <c r="D1114" t="s">
        <v>10</v>
      </c>
      <c r="E1114" t="s">
        <v>2256</v>
      </c>
    </row>
    <row r="1115" spans="1:5" x14ac:dyDescent="0.4">
      <c r="A1115" t="s">
        <v>2295</v>
      </c>
      <c r="B1115" t="s">
        <v>2296</v>
      </c>
      <c r="C1115" t="s">
        <v>6</v>
      </c>
      <c r="D1115" t="s">
        <v>33</v>
      </c>
      <c r="E1115" t="s">
        <v>2256</v>
      </c>
    </row>
    <row r="1116" spans="1:5" x14ac:dyDescent="0.4">
      <c r="A1116" t="s">
        <v>2297</v>
      </c>
      <c r="B1116" t="s">
        <v>2298</v>
      </c>
      <c r="C1116" t="s">
        <v>39</v>
      </c>
      <c r="E1116" t="s">
        <v>2256</v>
      </c>
    </row>
    <row r="1117" spans="1:5" x14ac:dyDescent="0.4">
      <c r="A1117" t="s">
        <v>2299</v>
      </c>
      <c r="B1117" t="s">
        <v>2300</v>
      </c>
      <c r="C1117" t="s">
        <v>39</v>
      </c>
      <c r="E1117" t="s">
        <v>2256</v>
      </c>
    </row>
    <row r="1118" spans="1:5" x14ac:dyDescent="0.4">
      <c r="A1118" t="s">
        <v>2301</v>
      </c>
      <c r="B1118" t="s">
        <v>2302</v>
      </c>
      <c r="C1118" t="s">
        <v>39</v>
      </c>
      <c r="E1118" t="s">
        <v>2256</v>
      </c>
    </row>
    <row r="1119" spans="1:5" x14ac:dyDescent="0.4">
      <c r="A1119" t="s">
        <v>2303</v>
      </c>
      <c r="B1119" t="s">
        <v>2304</v>
      </c>
      <c r="C1119" t="s">
        <v>39</v>
      </c>
      <c r="E1119" t="s">
        <v>2256</v>
      </c>
    </row>
    <row r="1120" spans="1:5" x14ac:dyDescent="0.4">
      <c r="A1120" t="s">
        <v>2305</v>
      </c>
      <c r="B1120" t="s">
        <v>2306</v>
      </c>
      <c r="C1120" t="s">
        <v>39</v>
      </c>
      <c r="E1120" t="s">
        <v>2256</v>
      </c>
    </row>
    <row r="1121" spans="1:5" x14ac:dyDescent="0.4">
      <c r="A1121" t="s">
        <v>2307</v>
      </c>
      <c r="B1121" t="s">
        <v>2308</v>
      </c>
      <c r="C1121" t="s">
        <v>56</v>
      </c>
      <c r="E1121" t="s">
        <v>2256</v>
      </c>
    </row>
    <row r="1122" spans="1:5" x14ac:dyDescent="0.4">
      <c r="A1122" t="s">
        <v>2309</v>
      </c>
      <c r="B1122" t="s">
        <v>2310</v>
      </c>
      <c r="C1122" t="s">
        <v>56</v>
      </c>
      <c r="E1122" t="s">
        <v>2256</v>
      </c>
    </row>
    <row r="1123" spans="1:5" x14ac:dyDescent="0.4">
      <c r="A1123" t="s">
        <v>2311</v>
      </c>
      <c r="B1123" t="s">
        <v>2312</v>
      </c>
      <c r="C1123" t="s">
        <v>56</v>
      </c>
      <c r="E1123" t="s">
        <v>2256</v>
      </c>
    </row>
    <row r="1124" spans="1:5" x14ac:dyDescent="0.4">
      <c r="A1124" t="s">
        <v>2313</v>
      </c>
      <c r="B1124" t="s">
        <v>2314</v>
      </c>
      <c r="C1124" t="s">
        <v>39</v>
      </c>
      <c r="E1124" t="s">
        <v>2256</v>
      </c>
    </row>
    <row r="1125" spans="1:5" x14ac:dyDescent="0.4">
      <c r="A1125" t="s">
        <v>2315</v>
      </c>
      <c r="B1125" t="s">
        <v>2316</v>
      </c>
      <c r="C1125" t="s">
        <v>39</v>
      </c>
      <c r="E1125" t="s">
        <v>2256</v>
      </c>
    </row>
    <row r="1126" spans="1:5" x14ac:dyDescent="0.4">
      <c r="A1126" t="s">
        <v>2317</v>
      </c>
      <c r="B1126" t="s">
        <v>2318</v>
      </c>
      <c r="C1126" t="s">
        <v>6</v>
      </c>
      <c r="D1126" t="s">
        <v>13</v>
      </c>
      <c r="E1126" t="s">
        <v>2256</v>
      </c>
    </row>
    <row r="1127" spans="1:5" x14ac:dyDescent="0.4">
      <c r="A1127" t="s">
        <v>2319</v>
      </c>
      <c r="B1127" t="s">
        <v>2320</v>
      </c>
      <c r="C1127" t="s">
        <v>6</v>
      </c>
      <c r="D1127" t="s">
        <v>30</v>
      </c>
      <c r="E1127" t="s">
        <v>2256</v>
      </c>
    </row>
    <row r="1128" spans="1:5" x14ac:dyDescent="0.4">
      <c r="A1128" t="s">
        <v>2321</v>
      </c>
      <c r="B1128" t="s">
        <v>2322</v>
      </c>
      <c r="C1128" t="s">
        <v>6</v>
      </c>
      <c r="D1128" t="s">
        <v>13</v>
      </c>
      <c r="E1128" t="s">
        <v>2256</v>
      </c>
    </row>
    <row r="1129" spans="1:5" x14ac:dyDescent="0.4">
      <c r="A1129" t="s">
        <v>2323</v>
      </c>
      <c r="B1129" t="s">
        <v>2324</v>
      </c>
      <c r="C1129" t="s">
        <v>6</v>
      </c>
      <c r="D1129" t="s">
        <v>10</v>
      </c>
      <c r="E1129" t="s">
        <v>2256</v>
      </c>
    </row>
    <row r="1130" spans="1:5" x14ac:dyDescent="0.4">
      <c r="A1130" t="s">
        <v>2325</v>
      </c>
      <c r="B1130" t="s">
        <v>2326</v>
      </c>
      <c r="C1130" t="s">
        <v>6</v>
      </c>
      <c r="D1130" t="s">
        <v>36</v>
      </c>
      <c r="E1130" t="s">
        <v>2256</v>
      </c>
    </row>
    <row r="1131" spans="1:5" x14ac:dyDescent="0.4">
      <c r="A1131" t="s">
        <v>2327</v>
      </c>
      <c r="B1131" t="s">
        <v>2328</v>
      </c>
      <c r="C1131" t="s">
        <v>39</v>
      </c>
      <c r="E1131" t="s">
        <v>2256</v>
      </c>
    </row>
    <row r="1132" spans="1:5" x14ac:dyDescent="0.4">
      <c r="A1132" t="s">
        <v>2329</v>
      </c>
      <c r="B1132" t="s">
        <v>2330</v>
      </c>
      <c r="C1132" t="s">
        <v>39</v>
      </c>
      <c r="E1132" t="s">
        <v>2256</v>
      </c>
    </row>
    <row r="1133" spans="1:5" x14ac:dyDescent="0.4">
      <c r="A1133" t="s">
        <v>2331</v>
      </c>
      <c r="B1133" t="s">
        <v>2332</v>
      </c>
      <c r="C1133" t="s">
        <v>39</v>
      </c>
      <c r="E1133" t="s">
        <v>2256</v>
      </c>
    </row>
    <row r="1134" spans="1:5" x14ac:dyDescent="0.4">
      <c r="A1134" t="s">
        <v>2333</v>
      </c>
      <c r="B1134" t="s">
        <v>2334</v>
      </c>
      <c r="C1134" t="s">
        <v>39</v>
      </c>
      <c r="E1134" t="s">
        <v>2256</v>
      </c>
    </row>
    <row r="1135" spans="1:5" x14ac:dyDescent="0.4">
      <c r="A1135" t="s">
        <v>2335</v>
      </c>
      <c r="B1135" t="s">
        <v>2336</v>
      </c>
      <c r="C1135" t="s">
        <v>39</v>
      </c>
      <c r="E1135" t="s">
        <v>2256</v>
      </c>
    </row>
    <row r="1136" spans="1:5" x14ac:dyDescent="0.4">
      <c r="A1136" t="s">
        <v>2337</v>
      </c>
      <c r="B1136" t="s">
        <v>2338</v>
      </c>
      <c r="C1136" t="s">
        <v>56</v>
      </c>
      <c r="E1136" t="s">
        <v>2256</v>
      </c>
    </row>
    <row r="1137" spans="1:5" x14ac:dyDescent="0.4">
      <c r="A1137" t="s">
        <v>2339</v>
      </c>
      <c r="B1137" t="s">
        <v>2340</v>
      </c>
      <c r="C1137" t="s">
        <v>56</v>
      </c>
      <c r="E1137" t="s">
        <v>2256</v>
      </c>
    </row>
    <row r="1138" spans="1:5" x14ac:dyDescent="0.4">
      <c r="A1138" t="s">
        <v>2341</v>
      </c>
      <c r="B1138" t="s">
        <v>2342</v>
      </c>
      <c r="C1138" t="s">
        <v>39</v>
      </c>
      <c r="E1138" t="s">
        <v>2256</v>
      </c>
    </row>
    <row r="1139" spans="1:5" x14ac:dyDescent="0.4">
      <c r="A1139" t="s">
        <v>2343</v>
      </c>
      <c r="B1139" t="s">
        <v>2344</v>
      </c>
      <c r="C1139" t="s">
        <v>56</v>
      </c>
      <c r="E1139" t="s">
        <v>2256</v>
      </c>
    </row>
    <row r="1140" spans="1:5" x14ac:dyDescent="0.4">
      <c r="A1140" t="s">
        <v>2345</v>
      </c>
      <c r="B1140" t="s">
        <v>2346</v>
      </c>
      <c r="C1140" t="s">
        <v>39</v>
      </c>
      <c r="E1140" t="s">
        <v>2256</v>
      </c>
    </row>
    <row r="1141" spans="1:5" x14ac:dyDescent="0.4">
      <c r="A1141" t="s">
        <v>2347</v>
      </c>
      <c r="B1141" t="s">
        <v>2348</v>
      </c>
      <c r="C1141" t="s">
        <v>6</v>
      </c>
      <c r="D1141" t="s">
        <v>7</v>
      </c>
      <c r="E1141" t="s">
        <v>2256</v>
      </c>
    </row>
    <row r="1142" spans="1:5" x14ac:dyDescent="0.4">
      <c r="A1142" t="s">
        <v>2349</v>
      </c>
      <c r="B1142" t="s">
        <v>2350</v>
      </c>
      <c r="C1142" t="s">
        <v>6</v>
      </c>
      <c r="D1142" t="s">
        <v>13</v>
      </c>
      <c r="E1142" t="s">
        <v>2256</v>
      </c>
    </row>
    <row r="1143" spans="1:5" x14ac:dyDescent="0.4">
      <c r="A1143" t="s">
        <v>2351</v>
      </c>
      <c r="B1143" t="s">
        <v>2352</v>
      </c>
      <c r="C1143" t="s">
        <v>6</v>
      </c>
      <c r="D1143" t="s">
        <v>13</v>
      </c>
      <c r="E1143" t="s">
        <v>2256</v>
      </c>
    </row>
    <row r="1144" spans="1:5" x14ac:dyDescent="0.4">
      <c r="A1144" t="s">
        <v>2353</v>
      </c>
      <c r="B1144" t="s">
        <v>2354</v>
      </c>
      <c r="C1144" t="s">
        <v>6</v>
      </c>
      <c r="D1144" t="s">
        <v>30</v>
      </c>
      <c r="E1144" t="s">
        <v>2256</v>
      </c>
    </row>
    <row r="1145" spans="1:5" x14ac:dyDescent="0.4">
      <c r="A1145" t="s">
        <v>2355</v>
      </c>
      <c r="B1145" t="s">
        <v>2356</v>
      </c>
      <c r="C1145" t="s">
        <v>6</v>
      </c>
      <c r="D1145" t="s">
        <v>10</v>
      </c>
      <c r="E1145" t="s">
        <v>2256</v>
      </c>
    </row>
    <row r="1146" spans="1:5" x14ac:dyDescent="0.4">
      <c r="A1146" t="s">
        <v>2357</v>
      </c>
      <c r="B1146" t="s">
        <v>2358</v>
      </c>
      <c r="C1146" t="s">
        <v>39</v>
      </c>
      <c r="E1146" t="s">
        <v>2256</v>
      </c>
    </row>
    <row r="1147" spans="1:5" x14ac:dyDescent="0.4">
      <c r="A1147" t="s">
        <v>2359</v>
      </c>
      <c r="B1147" t="s">
        <v>2360</v>
      </c>
      <c r="C1147" t="s">
        <v>39</v>
      </c>
      <c r="E1147" t="s">
        <v>2256</v>
      </c>
    </row>
    <row r="1148" spans="1:5" x14ac:dyDescent="0.4">
      <c r="A1148" t="s">
        <v>2361</v>
      </c>
      <c r="B1148" t="s">
        <v>2362</v>
      </c>
      <c r="C1148" t="s">
        <v>39</v>
      </c>
      <c r="E1148" t="s">
        <v>2256</v>
      </c>
    </row>
    <row r="1149" spans="1:5" x14ac:dyDescent="0.4">
      <c r="A1149" t="s">
        <v>2363</v>
      </c>
      <c r="B1149" t="s">
        <v>2364</v>
      </c>
      <c r="C1149" t="s">
        <v>39</v>
      </c>
      <c r="E1149" t="s">
        <v>2256</v>
      </c>
    </row>
    <row r="1150" spans="1:5" x14ac:dyDescent="0.4">
      <c r="A1150" t="s">
        <v>2365</v>
      </c>
      <c r="B1150" t="s">
        <v>2366</v>
      </c>
      <c r="C1150" t="s">
        <v>39</v>
      </c>
      <c r="E1150" t="s">
        <v>2256</v>
      </c>
    </row>
    <row r="1151" spans="1:5" x14ac:dyDescent="0.4">
      <c r="A1151" t="s">
        <v>2367</v>
      </c>
      <c r="B1151" t="s">
        <v>2368</v>
      </c>
      <c r="C1151" t="s">
        <v>56</v>
      </c>
      <c r="E1151" t="s">
        <v>2256</v>
      </c>
    </row>
    <row r="1152" spans="1:5" x14ac:dyDescent="0.4">
      <c r="A1152" t="s">
        <v>2369</v>
      </c>
      <c r="B1152" t="s">
        <v>2370</v>
      </c>
      <c r="C1152" t="s">
        <v>56</v>
      </c>
      <c r="E1152" t="s">
        <v>2256</v>
      </c>
    </row>
    <row r="1153" spans="1:5" x14ac:dyDescent="0.4">
      <c r="A1153" t="s">
        <v>2371</v>
      </c>
      <c r="B1153" t="s">
        <v>2372</v>
      </c>
      <c r="C1153" t="s">
        <v>56</v>
      </c>
      <c r="E1153" t="s">
        <v>2256</v>
      </c>
    </row>
    <row r="1154" spans="1:5" x14ac:dyDescent="0.4">
      <c r="A1154" t="s">
        <v>2373</v>
      </c>
      <c r="B1154" t="s">
        <v>2374</v>
      </c>
      <c r="C1154" t="s">
        <v>56</v>
      </c>
      <c r="E1154" t="s">
        <v>2256</v>
      </c>
    </row>
    <row r="1155" spans="1:5" x14ac:dyDescent="0.4">
      <c r="A1155" t="s">
        <v>2375</v>
      </c>
      <c r="B1155" t="s">
        <v>2376</v>
      </c>
      <c r="C1155" t="s">
        <v>39</v>
      </c>
      <c r="E1155" t="s">
        <v>2256</v>
      </c>
    </row>
    <row r="1156" spans="1:5" x14ac:dyDescent="0.4">
      <c r="A1156" t="s">
        <v>2377</v>
      </c>
      <c r="B1156" t="s">
        <v>2378</v>
      </c>
      <c r="C1156" t="s">
        <v>6</v>
      </c>
      <c r="D1156" t="s">
        <v>30</v>
      </c>
      <c r="E1156" t="s">
        <v>2256</v>
      </c>
    </row>
    <row r="1157" spans="1:5" x14ac:dyDescent="0.4">
      <c r="A1157" t="s">
        <v>2379</v>
      </c>
      <c r="B1157" t="s">
        <v>2380</v>
      </c>
      <c r="C1157" t="s">
        <v>6</v>
      </c>
      <c r="D1157" t="s">
        <v>13</v>
      </c>
      <c r="E1157" t="s">
        <v>2256</v>
      </c>
    </row>
    <row r="1158" spans="1:5" x14ac:dyDescent="0.4">
      <c r="A1158" t="s">
        <v>2381</v>
      </c>
      <c r="B1158" t="s">
        <v>2382</v>
      </c>
      <c r="C1158" t="s">
        <v>6</v>
      </c>
      <c r="D1158" t="s">
        <v>16</v>
      </c>
      <c r="E1158" t="s">
        <v>2256</v>
      </c>
    </row>
    <row r="1159" spans="1:5" x14ac:dyDescent="0.4">
      <c r="A1159" t="s">
        <v>2383</v>
      </c>
      <c r="B1159" t="s">
        <v>2384</v>
      </c>
      <c r="C1159" t="s">
        <v>6</v>
      </c>
      <c r="D1159" t="s">
        <v>30</v>
      </c>
      <c r="E1159" t="s">
        <v>2256</v>
      </c>
    </row>
    <row r="1160" spans="1:5" x14ac:dyDescent="0.4">
      <c r="A1160" t="s">
        <v>2385</v>
      </c>
      <c r="B1160" t="s">
        <v>2386</v>
      </c>
      <c r="C1160" t="s">
        <v>6</v>
      </c>
      <c r="D1160" t="s">
        <v>10</v>
      </c>
      <c r="E1160" t="s">
        <v>2256</v>
      </c>
    </row>
    <row r="1161" spans="1:5" x14ac:dyDescent="0.4">
      <c r="A1161" t="s">
        <v>2387</v>
      </c>
      <c r="B1161" t="s">
        <v>2388</v>
      </c>
      <c r="C1161" t="s">
        <v>39</v>
      </c>
      <c r="E1161" t="s">
        <v>2256</v>
      </c>
    </row>
    <row r="1162" spans="1:5" x14ac:dyDescent="0.4">
      <c r="A1162" t="s">
        <v>2389</v>
      </c>
      <c r="B1162" t="s">
        <v>2390</v>
      </c>
      <c r="C1162" t="s">
        <v>39</v>
      </c>
      <c r="E1162" t="s">
        <v>2256</v>
      </c>
    </row>
    <row r="1163" spans="1:5" x14ac:dyDescent="0.4">
      <c r="A1163" t="s">
        <v>2391</v>
      </c>
      <c r="B1163" t="s">
        <v>2392</v>
      </c>
      <c r="C1163" t="s">
        <v>39</v>
      </c>
      <c r="E1163" t="s">
        <v>2256</v>
      </c>
    </row>
    <row r="1164" spans="1:5" x14ac:dyDescent="0.4">
      <c r="A1164" t="s">
        <v>2393</v>
      </c>
      <c r="B1164" t="s">
        <v>2394</v>
      </c>
      <c r="C1164" t="s">
        <v>39</v>
      </c>
      <c r="E1164" t="s">
        <v>2256</v>
      </c>
    </row>
    <row r="1165" spans="1:5" x14ac:dyDescent="0.4">
      <c r="A1165" t="s">
        <v>2395</v>
      </c>
      <c r="B1165" t="s">
        <v>2396</v>
      </c>
      <c r="C1165" t="s">
        <v>39</v>
      </c>
      <c r="E1165" t="s">
        <v>2256</v>
      </c>
    </row>
    <row r="1166" spans="1:5" x14ac:dyDescent="0.4">
      <c r="A1166" t="s">
        <v>2397</v>
      </c>
      <c r="B1166" t="s">
        <v>2398</v>
      </c>
      <c r="C1166" t="s">
        <v>56</v>
      </c>
      <c r="E1166" t="s">
        <v>2256</v>
      </c>
    </row>
    <row r="1167" spans="1:5" x14ac:dyDescent="0.4">
      <c r="A1167" t="s">
        <v>2399</v>
      </c>
      <c r="B1167" t="s">
        <v>2400</v>
      </c>
      <c r="C1167" t="s">
        <v>56</v>
      </c>
      <c r="E1167" t="s">
        <v>2256</v>
      </c>
    </row>
    <row r="1168" spans="1:5" x14ac:dyDescent="0.4">
      <c r="A1168" t="s">
        <v>2401</v>
      </c>
      <c r="B1168" t="s">
        <v>2402</v>
      </c>
      <c r="C1168" t="s">
        <v>56</v>
      </c>
      <c r="E1168" t="s">
        <v>2256</v>
      </c>
    </row>
    <row r="1169" spans="1:5" x14ac:dyDescent="0.4">
      <c r="A1169" t="s">
        <v>2403</v>
      </c>
      <c r="B1169" t="s">
        <v>2404</v>
      </c>
      <c r="C1169" t="s">
        <v>56</v>
      </c>
      <c r="E1169" t="s">
        <v>2256</v>
      </c>
    </row>
    <row r="1170" spans="1:5" x14ac:dyDescent="0.4">
      <c r="A1170" t="s">
        <v>2405</v>
      </c>
      <c r="B1170" t="s">
        <v>2406</v>
      </c>
      <c r="C1170" t="s">
        <v>56</v>
      </c>
      <c r="E1170" t="s">
        <v>2256</v>
      </c>
    </row>
    <row r="1171" spans="1:5" x14ac:dyDescent="0.4">
      <c r="A1171" t="s">
        <v>2407</v>
      </c>
      <c r="B1171" t="s">
        <v>2408</v>
      </c>
      <c r="C1171" t="s">
        <v>6</v>
      </c>
      <c r="D1171" t="s">
        <v>10</v>
      </c>
      <c r="E1171" t="s">
        <v>2208</v>
      </c>
    </row>
    <row r="1172" spans="1:5" x14ac:dyDescent="0.4">
      <c r="A1172" t="s">
        <v>2409</v>
      </c>
      <c r="B1172" t="s">
        <v>2410</v>
      </c>
      <c r="C1172" t="s">
        <v>6</v>
      </c>
      <c r="D1172" t="s">
        <v>16</v>
      </c>
      <c r="E1172" t="s">
        <v>2208</v>
      </c>
    </row>
    <row r="1173" spans="1:5" x14ac:dyDescent="0.4">
      <c r="A1173" t="s">
        <v>2411</v>
      </c>
      <c r="B1173" t="s">
        <v>2412</v>
      </c>
      <c r="C1173" t="s">
        <v>6</v>
      </c>
      <c r="D1173" t="s">
        <v>33</v>
      </c>
      <c r="E1173" t="s">
        <v>2208</v>
      </c>
    </row>
    <row r="1174" spans="1:5" x14ac:dyDescent="0.4">
      <c r="A1174" t="s">
        <v>2413</v>
      </c>
      <c r="B1174" t="s">
        <v>2414</v>
      </c>
      <c r="C1174" t="s">
        <v>6</v>
      </c>
      <c r="D1174" t="s">
        <v>7</v>
      </c>
      <c r="E1174" t="s">
        <v>2208</v>
      </c>
    </row>
    <row r="1175" spans="1:5" x14ac:dyDescent="0.4">
      <c r="A1175" t="s">
        <v>2415</v>
      </c>
      <c r="B1175" t="s">
        <v>2416</v>
      </c>
      <c r="C1175" t="s">
        <v>6</v>
      </c>
      <c r="D1175" t="s">
        <v>10</v>
      </c>
      <c r="E1175" t="s">
        <v>2208</v>
      </c>
    </row>
    <row r="1176" spans="1:5" x14ac:dyDescent="0.4">
      <c r="A1176" t="s">
        <v>2417</v>
      </c>
      <c r="B1176" t="s">
        <v>2418</v>
      </c>
      <c r="C1176" t="s">
        <v>39</v>
      </c>
      <c r="E1176" t="s">
        <v>2208</v>
      </c>
    </row>
    <row r="1177" spans="1:5" x14ac:dyDescent="0.4">
      <c r="A1177" t="s">
        <v>2419</v>
      </c>
      <c r="B1177" t="s">
        <v>2420</v>
      </c>
      <c r="C1177" t="s">
        <v>39</v>
      </c>
      <c r="E1177" t="s">
        <v>2208</v>
      </c>
    </row>
    <row r="1178" spans="1:5" x14ac:dyDescent="0.4">
      <c r="A1178" t="s">
        <v>2421</v>
      </c>
      <c r="B1178" t="s">
        <v>2422</v>
      </c>
      <c r="C1178" t="s">
        <v>39</v>
      </c>
      <c r="E1178" t="s">
        <v>2208</v>
      </c>
    </row>
    <row r="1179" spans="1:5" x14ac:dyDescent="0.4">
      <c r="A1179" t="s">
        <v>2423</v>
      </c>
      <c r="B1179" t="s">
        <v>2424</v>
      </c>
      <c r="C1179" t="s">
        <v>39</v>
      </c>
      <c r="E1179" t="s">
        <v>2208</v>
      </c>
    </row>
    <row r="1180" spans="1:5" x14ac:dyDescent="0.4">
      <c r="A1180" t="s">
        <v>2425</v>
      </c>
      <c r="B1180" t="s">
        <v>2426</v>
      </c>
      <c r="C1180" t="s">
        <v>39</v>
      </c>
      <c r="E1180" t="s">
        <v>2208</v>
      </c>
    </row>
    <row r="1181" spans="1:5" x14ac:dyDescent="0.4">
      <c r="A1181" t="s">
        <v>2427</v>
      </c>
      <c r="B1181" t="s">
        <v>2428</v>
      </c>
      <c r="C1181" t="s">
        <v>56</v>
      </c>
      <c r="E1181" t="s">
        <v>2208</v>
      </c>
    </row>
    <row r="1182" spans="1:5" x14ac:dyDescent="0.4">
      <c r="A1182" t="s">
        <v>2429</v>
      </c>
      <c r="B1182" t="s">
        <v>2430</v>
      </c>
      <c r="C1182" t="s">
        <v>56</v>
      </c>
      <c r="E1182" t="s">
        <v>2208</v>
      </c>
    </row>
    <row r="1183" spans="1:5" x14ac:dyDescent="0.4">
      <c r="A1183" t="s">
        <v>2431</v>
      </c>
      <c r="B1183" t="s">
        <v>2432</v>
      </c>
      <c r="C1183" t="s">
        <v>56</v>
      </c>
      <c r="E1183" t="s">
        <v>2208</v>
      </c>
    </row>
    <row r="1184" spans="1:5" x14ac:dyDescent="0.4">
      <c r="A1184" t="s">
        <v>2433</v>
      </c>
      <c r="B1184" t="s">
        <v>2434</v>
      </c>
      <c r="C1184" t="s">
        <v>56</v>
      </c>
      <c r="E1184" t="s">
        <v>2208</v>
      </c>
    </row>
    <row r="1185" spans="1:5" x14ac:dyDescent="0.4">
      <c r="A1185" t="s">
        <v>2435</v>
      </c>
      <c r="B1185" t="s">
        <v>2436</v>
      </c>
      <c r="C1185" t="s">
        <v>56</v>
      </c>
      <c r="E1185" t="s">
        <v>2208</v>
      </c>
    </row>
    <row r="1186" spans="1:5" x14ac:dyDescent="0.4">
      <c r="A1186" t="s">
        <v>2437</v>
      </c>
      <c r="B1186" t="s">
        <v>2438</v>
      </c>
      <c r="C1186" t="s">
        <v>6</v>
      </c>
      <c r="D1186" t="s">
        <v>7</v>
      </c>
      <c r="E1186" t="s">
        <v>2207</v>
      </c>
    </row>
    <row r="1187" spans="1:5" x14ac:dyDescent="0.4">
      <c r="A1187" t="s">
        <v>2439</v>
      </c>
      <c r="B1187" t="s">
        <v>2440</v>
      </c>
      <c r="C1187" t="s">
        <v>6</v>
      </c>
      <c r="D1187" t="s">
        <v>10</v>
      </c>
      <c r="E1187" t="s">
        <v>2207</v>
      </c>
    </row>
    <row r="1188" spans="1:5" x14ac:dyDescent="0.4">
      <c r="A1188" t="s">
        <v>2441</v>
      </c>
      <c r="B1188" t="s">
        <v>2464</v>
      </c>
      <c r="C1188" t="s">
        <v>6</v>
      </c>
      <c r="D1188" t="s">
        <v>10</v>
      </c>
      <c r="E1188" t="s">
        <v>2207</v>
      </c>
    </row>
    <row r="1189" spans="1:5" x14ac:dyDescent="0.4">
      <c r="A1189" t="s">
        <v>2442</v>
      </c>
      <c r="B1189" t="s">
        <v>2443</v>
      </c>
      <c r="C1189" t="s">
        <v>6</v>
      </c>
      <c r="D1189" t="s">
        <v>33</v>
      </c>
      <c r="E1189" t="s">
        <v>2207</v>
      </c>
    </row>
    <row r="1190" spans="1:5" x14ac:dyDescent="0.4">
      <c r="A1190" t="s">
        <v>2444</v>
      </c>
      <c r="B1190" t="s">
        <v>2445</v>
      </c>
      <c r="C1190" t="s">
        <v>6</v>
      </c>
      <c r="D1190" t="s">
        <v>21</v>
      </c>
      <c r="E1190" t="s">
        <v>2207</v>
      </c>
    </row>
    <row r="1191" spans="1:5" x14ac:dyDescent="0.4">
      <c r="A1191" t="s">
        <v>2446</v>
      </c>
      <c r="B1191" t="s">
        <v>2447</v>
      </c>
      <c r="C1191" t="s">
        <v>39</v>
      </c>
      <c r="E1191" t="s">
        <v>2207</v>
      </c>
    </row>
    <row r="1192" spans="1:5" x14ac:dyDescent="0.4">
      <c r="A1192" t="s">
        <v>2465</v>
      </c>
      <c r="B1192" t="s">
        <v>2466</v>
      </c>
      <c r="C1192" t="s">
        <v>39</v>
      </c>
      <c r="E1192" t="s">
        <v>2207</v>
      </c>
    </row>
    <row r="1193" spans="1:5" x14ac:dyDescent="0.4">
      <c r="A1193" t="s">
        <v>2448</v>
      </c>
      <c r="B1193" t="s">
        <v>2449</v>
      </c>
      <c r="C1193" t="s">
        <v>39</v>
      </c>
      <c r="E1193" t="s">
        <v>2207</v>
      </c>
    </row>
    <row r="1194" spans="1:5" x14ac:dyDescent="0.4">
      <c r="A1194" t="s">
        <v>2450</v>
      </c>
      <c r="B1194" t="s">
        <v>2451</v>
      </c>
      <c r="C1194" t="s">
        <v>39</v>
      </c>
      <c r="E1194" t="s">
        <v>2207</v>
      </c>
    </row>
    <row r="1195" spans="1:5" x14ac:dyDescent="0.4">
      <c r="A1195" t="s">
        <v>2452</v>
      </c>
      <c r="B1195" t="s">
        <v>2453</v>
      </c>
      <c r="C1195" t="s">
        <v>39</v>
      </c>
      <c r="E1195" t="s">
        <v>2207</v>
      </c>
    </row>
    <row r="1196" spans="1:5" x14ac:dyDescent="0.4">
      <c r="A1196" t="s">
        <v>2454</v>
      </c>
      <c r="B1196" t="s">
        <v>2455</v>
      </c>
      <c r="C1196" t="s">
        <v>56</v>
      </c>
      <c r="E1196" t="s">
        <v>2207</v>
      </c>
    </row>
    <row r="1197" spans="1:5" x14ac:dyDescent="0.4">
      <c r="A1197" t="s">
        <v>2456</v>
      </c>
      <c r="B1197" t="s">
        <v>2457</v>
      </c>
      <c r="C1197" t="s">
        <v>56</v>
      </c>
      <c r="E1197" t="s">
        <v>2207</v>
      </c>
    </row>
    <row r="1198" spans="1:5" x14ac:dyDescent="0.4">
      <c r="A1198" t="s">
        <v>2458</v>
      </c>
      <c r="B1198" t="s">
        <v>2459</v>
      </c>
      <c r="C1198" t="s">
        <v>56</v>
      </c>
      <c r="E1198" t="s">
        <v>2207</v>
      </c>
    </row>
    <row r="1199" spans="1:5" x14ac:dyDescent="0.4">
      <c r="A1199" t="s">
        <v>2460</v>
      </c>
      <c r="B1199" t="s">
        <v>2461</v>
      </c>
      <c r="C1199" t="s">
        <v>56</v>
      </c>
      <c r="E1199" t="s">
        <v>2207</v>
      </c>
    </row>
    <row r="1200" spans="1:5" x14ac:dyDescent="0.4">
      <c r="A1200" t="s">
        <v>2462</v>
      </c>
      <c r="B1200" t="s">
        <v>2463</v>
      </c>
      <c r="C1200" t="s">
        <v>56</v>
      </c>
      <c r="E1200" t="s">
        <v>2207</v>
      </c>
    </row>
    <row r="1201" spans="1:5" x14ac:dyDescent="0.4">
      <c r="A1201" t="s">
        <v>2467</v>
      </c>
      <c r="B1201" t="s">
        <v>2468</v>
      </c>
      <c r="C1201" t="s">
        <v>6</v>
      </c>
      <c r="D1201" t="s">
        <v>10</v>
      </c>
      <c r="E1201" t="s">
        <v>2207</v>
      </c>
    </row>
    <row r="1202" spans="1:5" x14ac:dyDescent="0.4">
      <c r="A1202" t="s">
        <v>2469</v>
      </c>
      <c r="B1202" t="s">
        <v>2470</v>
      </c>
      <c r="C1202" t="s">
        <v>6</v>
      </c>
      <c r="D1202" t="s">
        <v>21</v>
      </c>
      <c r="E1202" t="s">
        <v>2207</v>
      </c>
    </row>
    <row r="1203" spans="1:5" x14ac:dyDescent="0.4">
      <c r="A1203" t="s">
        <v>2471</v>
      </c>
      <c r="B1203" t="s">
        <v>2472</v>
      </c>
      <c r="C1203" t="s">
        <v>6</v>
      </c>
      <c r="D1203" t="s">
        <v>16</v>
      </c>
      <c r="E1203" t="s">
        <v>2207</v>
      </c>
    </row>
    <row r="1204" spans="1:5" x14ac:dyDescent="0.4">
      <c r="A1204" t="s">
        <v>2473</v>
      </c>
      <c r="B1204" t="s">
        <v>2474</v>
      </c>
      <c r="C1204" t="s">
        <v>6</v>
      </c>
      <c r="D1204" t="s">
        <v>33</v>
      </c>
      <c r="E1204" t="s">
        <v>2207</v>
      </c>
    </row>
    <row r="1205" spans="1:5" x14ac:dyDescent="0.4">
      <c r="A1205" t="s">
        <v>2475</v>
      </c>
      <c r="B1205" t="s">
        <v>2476</v>
      </c>
      <c r="C1205" t="s">
        <v>6</v>
      </c>
      <c r="D1205" t="s">
        <v>24</v>
      </c>
      <c r="E1205" t="s">
        <v>2207</v>
      </c>
    </row>
    <row r="1206" spans="1:5" x14ac:dyDescent="0.4">
      <c r="A1206" t="s">
        <v>2477</v>
      </c>
      <c r="B1206" t="s">
        <v>2478</v>
      </c>
      <c r="C1206" t="s">
        <v>39</v>
      </c>
      <c r="E1206" t="s">
        <v>2207</v>
      </c>
    </row>
    <row r="1207" spans="1:5" x14ac:dyDescent="0.4">
      <c r="A1207" t="s">
        <v>2479</v>
      </c>
      <c r="B1207" t="s">
        <v>2480</v>
      </c>
      <c r="C1207" t="s">
        <v>39</v>
      </c>
      <c r="E1207" t="s">
        <v>2207</v>
      </c>
    </row>
    <row r="1208" spans="1:5" x14ac:dyDescent="0.4">
      <c r="A1208" t="s">
        <v>2481</v>
      </c>
      <c r="B1208" t="s">
        <v>2482</v>
      </c>
      <c r="C1208" t="s">
        <v>39</v>
      </c>
      <c r="E1208" t="s">
        <v>2207</v>
      </c>
    </row>
    <row r="1209" spans="1:5" x14ac:dyDescent="0.4">
      <c r="A1209" t="s">
        <v>2483</v>
      </c>
      <c r="B1209" t="s">
        <v>2484</v>
      </c>
      <c r="C1209" t="s">
        <v>39</v>
      </c>
      <c r="E1209" t="s">
        <v>2207</v>
      </c>
    </row>
    <row r="1210" spans="1:5" x14ac:dyDescent="0.4">
      <c r="A1210" t="s">
        <v>2485</v>
      </c>
      <c r="B1210" t="s">
        <v>2486</v>
      </c>
      <c r="C1210" t="s">
        <v>39</v>
      </c>
      <c r="E1210" t="s">
        <v>2207</v>
      </c>
    </row>
    <row r="1211" spans="1:5" x14ac:dyDescent="0.4">
      <c r="A1211" t="s">
        <v>2487</v>
      </c>
      <c r="B1211" t="s">
        <v>2488</v>
      </c>
      <c r="C1211" t="s">
        <v>56</v>
      </c>
      <c r="E1211" t="s">
        <v>2207</v>
      </c>
    </row>
    <row r="1212" spans="1:5" x14ac:dyDescent="0.4">
      <c r="A1212" t="s">
        <v>2489</v>
      </c>
      <c r="B1212" t="s">
        <v>2490</v>
      </c>
      <c r="C1212" t="s">
        <v>56</v>
      </c>
      <c r="E1212" t="s">
        <v>2207</v>
      </c>
    </row>
    <row r="1213" spans="1:5" x14ac:dyDescent="0.4">
      <c r="A1213" t="s">
        <v>2491</v>
      </c>
      <c r="B1213" t="s">
        <v>2492</v>
      </c>
      <c r="C1213" t="s">
        <v>56</v>
      </c>
      <c r="E1213" t="s">
        <v>2207</v>
      </c>
    </row>
    <row r="1214" spans="1:5" x14ac:dyDescent="0.4">
      <c r="A1214" t="s">
        <v>2493</v>
      </c>
      <c r="B1214" t="s">
        <v>2494</v>
      </c>
      <c r="C1214" t="s">
        <v>56</v>
      </c>
      <c r="E1214" t="s">
        <v>2207</v>
      </c>
    </row>
    <row r="1215" spans="1:5" x14ac:dyDescent="0.4">
      <c r="A1215" t="s">
        <v>2495</v>
      </c>
      <c r="B1215" t="s">
        <v>2496</v>
      </c>
      <c r="C1215" t="s">
        <v>56</v>
      </c>
      <c r="E1215" t="s">
        <v>2207</v>
      </c>
    </row>
    <row r="1216" spans="1:5" x14ac:dyDescent="0.4">
      <c r="A1216" t="s">
        <v>2497</v>
      </c>
      <c r="B1216" t="s">
        <v>2498</v>
      </c>
      <c r="C1216" t="s">
        <v>6</v>
      </c>
      <c r="D1216" t="s">
        <v>33</v>
      </c>
      <c r="E1216" t="s">
        <v>2207</v>
      </c>
    </row>
    <row r="1217" spans="1:5" x14ac:dyDescent="0.4">
      <c r="A1217" t="s">
        <v>2499</v>
      </c>
      <c r="B1217" t="s">
        <v>2500</v>
      </c>
      <c r="C1217" t="s">
        <v>6</v>
      </c>
      <c r="D1217" t="s">
        <v>13</v>
      </c>
      <c r="E1217" t="s">
        <v>2207</v>
      </c>
    </row>
    <row r="1218" spans="1:5" x14ac:dyDescent="0.4">
      <c r="A1218" t="s">
        <v>2501</v>
      </c>
      <c r="B1218" t="s">
        <v>2502</v>
      </c>
      <c r="C1218" t="s">
        <v>6</v>
      </c>
      <c r="D1218" t="s">
        <v>16</v>
      </c>
      <c r="E1218" t="s">
        <v>2207</v>
      </c>
    </row>
    <row r="1219" spans="1:5" x14ac:dyDescent="0.4">
      <c r="A1219" t="s">
        <v>2503</v>
      </c>
      <c r="B1219" t="s">
        <v>2504</v>
      </c>
      <c r="C1219" t="s">
        <v>6</v>
      </c>
      <c r="D1219" t="s">
        <v>7</v>
      </c>
      <c r="E1219" t="s">
        <v>2207</v>
      </c>
    </row>
    <row r="1220" spans="1:5" x14ac:dyDescent="0.4">
      <c r="A1220" t="s">
        <v>2505</v>
      </c>
      <c r="B1220" t="s">
        <v>2506</v>
      </c>
      <c r="C1220" t="s">
        <v>6</v>
      </c>
      <c r="D1220" t="s">
        <v>24</v>
      </c>
      <c r="E1220" t="s">
        <v>2207</v>
      </c>
    </row>
    <row r="1221" spans="1:5" x14ac:dyDescent="0.4">
      <c r="A1221" t="s">
        <v>2507</v>
      </c>
      <c r="B1221" t="s">
        <v>2508</v>
      </c>
      <c r="C1221" t="s">
        <v>39</v>
      </c>
      <c r="E1221" t="s">
        <v>2207</v>
      </c>
    </row>
    <row r="1222" spans="1:5" x14ac:dyDescent="0.4">
      <c r="A1222" t="s">
        <v>2509</v>
      </c>
      <c r="B1222" t="s">
        <v>2510</v>
      </c>
      <c r="C1222" t="s">
        <v>39</v>
      </c>
      <c r="E1222" t="s">
        <v>2207</v>
      </c>
    </row>
    <row r="1223" spans="1:5" x14ac:dyDescent="0.4">
      <c r="A1223" t="s">
        <v>2511</v>
      </c>
      <c r="B1223" t="s">
        <v>2512</v>
      </c>
      <c r="C1223" t="s">
        <v>39</v>
      </c>
      <c r="E1223" t="s">
        <v>2207</v>
      </c>
    </row>
    <row r="1224" spans="1:5" x14ac:dyDescent="0.4">
      <c r="A1224" t="s">
        <v>2513</v>
      </c>
      <c r="B1224" t="s">
        <v>2514</v>
      </c>
      <c r="C1224" t="s">
        <v>39</v>
      </c>
      <c r="E1224" t="s">
        <v>2207</v>
      </c>
    </row>
    <row r="1225" spans="1:5" x14ac:dyDescent="0.4">
      <c r="A1225" t="s">
        <v>2515</v>
      </c>
      <c r="B1225" t="s">
        <v>2516</v>
      </c>
      <c r="C1225" t="s">
        <v>39</v>
      </c>
      <c r="E1225" t="s">
        <v>2207</v>
      </c>
    </row>
    <row r="1226" spans="1:5" x14ac:dyDescent="0.4">
      <c r="A1226" t="s">
        <v>2517</v>
      </c>
      <c r="B1226" t="s">
        <v>2518</v>
      </c>
      <c r="C1226" t="s">
        <v>56</v>
      </c>
      <c r="E1226" t="s">
        <v>2207</v>
      </c>
    </row>
    <row r="1227" spans="1:5" x14ac:dyDescent="0.4">
      <c r="A1227" t="s">
        <v>2519</v>
      </c>
      <c r="B1227" t="s">
        <v>2520</v>
      </c>
      <c r="C1227" t="s">
        <v>56</v>
      </c>
      <c r="E1227" t="s">
        <v>2207</v>
      </c>
    </row>
    <row r="1228" spans="1:5" x14ac:dyDescent="0.4">
      <c r="A1228" t="s">
        <v>2521</v>
      </c>
      <c r="B1228" t="s">
        <v>2522</v>
      </c>
      <c r="C1228" t="s">
        <v>56</v>
      </c>
      <c r="E1228" t="s">
        <v>2207</v>
      </c>
    </row>
    <row r="1229" spans="1:5" x14ac:dyDescent="0.4">
      <c r="A1229" t="s">
        <v>2523</v>
      </c>
      <c r="B1229" t="s">
        <v>2524</v>
      </c>
      <c r="C1229" t="s">
        <v>56</v>
      </c>
      <c r="E1229" t="s">
        <v>2207</v>
      </c>
    </row>
    <row r="1230" spans="1:5" x14ac:dyDescent="0.4">
      <c r="A1230" t="s">
        <v>2525</v>
      </c>
      <c r="B1230" t="s">
        <v>2526</v>
      </c>
      <c r="C1230" t="s">
        <v>56</v>
      </c>
      <c r="E1230" t="s">
        <v>2207</v>
      </c>
    </row>
    <row r="1231" spans="1:5" x14ac:dyDescent="0.4">
      <c r="A1231" t="s">
        <v>2527</v>
      </c>
      <c r="B1231" t="s">
        <v>2528</v>
      </c>
      <c r="C1231" t="s">
        <v>6</v>
      </c>
      <c r="D1231" t="s">
        <v>10</v>
      </c>
      <c r="E1231" t="s">
        <v>2207</v>
      </c>
    </row>
    <row r="1232" spans="1:5" x14ac:dyDescent="0.4">
      <c r="A1232" t="s">
        <v>2529</v>
      </c>
      <c r="B1232" t="s">
        <v>2530</v>
      </c>
      <c r="C1232" t="s">
        <v>6</v>
      </c>
      <c r="D1232" t="s">
        <v>21</v>
      </c>
      <c r="E1232" t="s">
        <v>2207</v>
      </c>
    </row>
    <row r="1233" spans="1:5" x14ac:dyDescent="0.4">
      <c r="A1233" t="s">
        <v>2531</v>
      </c>
      <c r="B1233" t="s">
        <v>2532</v>
      </c>
      <c r="C1233" t="s">
        <v>6</v>
      </c>
      <c r="D1233" t="s">
        <v>7</v>
      </c>
      <c r="E1233" t="s">
        <v>2207</v>
      </c>
    </row>
    <row r="1234" spans="1:5" x14ac:dyDescent="0.4">
      <c r="A1234" t="s">
        <v>2533</v>
      </c>
      <c r="B1234" t="s">
        <v>2534</v>
      </c>
      <c r="C1234" t="s">
        <v>6</v>
      </c>
      <c r="D1234" t="s">
        <v>30</v>
      </c>
      <c r="E1234" t="s">
        <v>2207</v>
      </c>
    </row>
    <row r="1235" spans="1:5" x14ac:dyDescent="0.4">
      <c r="A1235" t="s">
        <v>2535</v>
      </c>
      <c r="B1235" t="s">
        <v>2536</v>
      </c>
      <c r="C1235" t="s">
        <v>6</v>
      </c>
      <c r="D1235" t="s">
        <v>27</v>
      </c>
      <c r="E1235" t="s">
        <v>2207</v>
      </c>
    </row>
    <row r="1236" spans="1:5" x14ac:dyDescent="0.4">
      <c r="A1236" t="s">
        <v>2537</v>
      </c>
      <c r="B1236" t="s">
        <v>2538</v>
      </c>
      <c r="C1236" t="s">
        <v>39</v>
      </c>
      <c r="E1236" t="s">
        <v>2207</v>
      </c>
    </row>
    <row r="1237" spans="1:5" x14ac:dyDescent="0.4">
      <c r="A1237" t="s">
        <v>2539</v>
      </c>
      <c r="B1237" t="s">
        <v>2540</v>
      </c>
      <c r="C1237" t="s">
        <v>39</v>
      </c>
      <c r="E1237" t="s">
        <v>2207</v>
      </c>
    </row>
    <row r="1238" spans="1:5" x14ac:dyDescent="0.4">
      <c r="A1238" t="s">
        <v>2541</v>
      </c>
      <c r="B1238" t="s">
        <v>2542</v>
      </c>
      <c r="C1238" t="s">
        <v>39</v>
      </c>
      <c r="E1238" t="s">
        <v>2207</v>
      </c>
    </row>
    <row r="1239" spans="1:5" x14ac:dyDescent="0.4">
      <c r="A1239" t="s">
        <v>2543</v>
      </c>
      <c r="B1239" t="s">
        <v>2544</v>
      </c>
      <c r="C1239" t="s">
        <v>39</v>
      </c>
      <c r="E1239" t="s">
        <v>2207</v>
      </c>
    </row>
    <row r="1240" spans="1:5" x14ac:dyDescent="0.4">
      <c r="A1240" t="s">
        <v>2545</v>
      </c>
      <c r="B1240" t="s">
        <v>2546</v>
      </c>
      <c r="C1240" t="s">
        <v>39</v>
      </c>
      <c r="E1240" t="s">
        <v>2207</v>
      </c>
    </row>
    <row r="1241" spans="1:5" x14ac:dyDescent="0.4">
      <c r="A1241" t="s">
        <v>2547</v>
      </c>
      <c r="B1241" t="s">
        <v>2548</v>
      </c>
      <c r="C1241" t="s">
        <v>56</v>
      </c>
      <c r="E1241" t="s">
        <v>2207</v>
      </c>
    </row>
    <row r="1242" spans="1:5" x14ac:dyDescent="0.4">
      <c r="A1242" t="s">
        <v>2549</v>
      </c>
      <c r="B1242" t="s">
        <v>2550</v>
      </c>
      <c r="C1242" t="s">
        <v>56</v>
      </c>
      <c r="E1242" t="s">
        <v>2207</v>
      </c>
    </row>
    <row r="1243" spans="1:5" x14ac:dyDescent="0.4">
      <c r="A1243" t="s">
        <v>2551</v>
      </c>
      <c r="B1243" t="s">
        <v>2552</v>
      </c>
      <c r="C1243" t="s">
        <v>56</v>
      </c>
      <c r="E1243" t="s">
        <v>2207</v>
      </c>
    </row>
    <row r="1244" spans="1:5" x14ac:dyDescent="0.4">
      <c r="A1244" t="s">
        <v>2553</v>
      </c>
      <c r="B1244" t="s">
        <v>2554</v>
      </c>
      <c r="C1244" t="s">
        <v>56</v>
      </c>
      <c r="E1244" t="s">
        <v>2207</v>
      </c>
    </row>
    <row r="1245" spans="1:5" x14ac:dyDescent="0.4">
      <c r="A1245" t="s">
        <v>2555</v>
      </c>
      <c r="B1245" t="s">
        <v>2556</v>
      </c>
      <c r="C1245" t="s">
        <v>56</v>
      </c>
      <c r="E1245" t="s">
        <v>2207</v>
      </c>
    </row>
    <row r="1246" spans="1:5" x14ac:dyDescent="0.4">
      <c r="A1246" t="s">
        <v>2557</v>
      </c>
      <c r="B1246" t="s">
        <v>2558</v>
      </c>
      <c r="C1246" t="s">
        <v>6</v>
      </c>
      <c r="D1246" t="s">
        <v>33</v>
      </c>
      <c r="E1246" t="s">
        <v>2207</v>
      </c>
    </row>
    <row r="1247" spans="1:5" x14ac:dyDescent="0.4">
      <c r="A1247" t="s">
        <v>2559</v>
      </c>
      <c r="B1247" t="s">
        <v>2560</v>
      </c>
      <c r="C1247" t="s">
        <v>6</v>
      </c>
      <c r="D1247" t="s">
        <v>10</v>
      </c>
      <c r="E1247" t="s">
        <v>2207</v>
      </c>
    </row>
    <row r="1248" spans="1:5" x14ac:dyDescent="0.4">
      <c r="A1248" t="s">
        <v>2561</v>
      </c>
      <c r="B1248" t="s">
        <v>2562</v>
      </c>
      <c r="C1248" t="s">
        <v>6</v>
      </c>
      <c r="D1248" t="s">
        <v>21</v>
      </c>
      <c r="E1248" t="s">
        <v>2207</v>
      </c>
    </row>
    <row r="1249" spans="1:5" x14ac:dyDescent="0.4">
      <c r="A1249" t="s">
        <v>2563</v>
      </c>
      <c r="B1249" t="s">
        <v>2564</v>
      </c>
      <c r="C1249" t="s">
        <v>6</v>
      </c>
      <c r="D1249" t="s">
        <v>24</v>
      </c>
      <c r="E1249" t="s">
        <v>2207</v>
      </c>
    </row>
    <row r="1250" spans="1:5" x14ac:dyDescent="0.4">
      <c r="A1250" t="s">
        <v>2565</v>
      </c>
      <c r="B1250" t="s">
        <v>2566</v>
      </c>
      <c r="C1250" t="s">
        <v>6</v>
      </c>
      <c r="D1250" t="s">
        <v>24</v>
      </c>
      <c r="E1250" t="s">
        <v>2207</v>
      </c>
    </row>
    <row r="1251" spans="1:5" x14ac:dyDescent="0.4">
      <c r="A1251" t="s">
        <v>2567</v>
      </c>
      <c r="B1251" t="s">
        <v>2568</v>
      </c>
      <c r="C1251" t="s">
        <v>39</v>
      </c>
      <c r="E1251" t="s">
        <v>2207</v>
      </c>
    </row>
    <row r="1252" spans="1:5" x14ac:dyDescent="0.4">
      <c r="A1252" t="s">
        <v>2569</v>
      </c>
      <c r="B1252" t="s">
        <v>2570</v>
      </c>
      <c r="C1252" t="s">
        <v>39</v>
      </c>
      <c r="E1252" t="s">
        <v>2207</v>
      </c>
    </row>
    <row r="1253" spans="1:5" x14ac:dyDescent="0.4">
      <c r="A1253" t="s">
        <v>2571</v>
      </c>
      <c r="B1253" t="s">
        <v>2572</v>
      </c>
      <c r="C1253" t="s">
        <v>39</v>
      </c>
      <c r="E1253" t="s">
        <v>2207</v>
      </c>
    </row>
    <row r="1254" spans="1:5" x14ac:dyDescent="0.4">
      <c r="A1254" t="s">
        <v>2573</v>
      </c>
      <c r="B1254" t="s">
        <v>2574</v>
      </c>
      <c r="C1254" t="s">
        <v>39</v>
      </c>
      <c r="E1254" t="s">
        <v>2207</v>
      </c>
    </row>
    <row r="1255" spans="1:5" x14ac:dyDescent="0.4">
      <c r="A1255" t="s">
        <v>2575</v>
      </c>
      <c r="B1255" t="s">
        <v>2576</v>
      </c>
      <c r="C1255" t="s">
        <v>39</v>
      </c>
      <c r="E1255" t="s">
        <v>2207</v>
      </c>
    </row>
    <row r="1256" spans="1:5" x14ac:dyDescent="0.4">
      <c r="A1256" t="s">
        <v>2577</v>
      </c>
      <c r="B1256" t="s">
        <v>2578</v>
      </c>
      <c r="C1256" t="s">
        <v>56</v>
      </c>
      <c r="E1256" t="s">
        <v>2207</v>
      </c>
    </row>
    <row r="1257" spans="1:5" x14ac:dyDescent="0.4">
      <c r="A1257" t="s">
        <v>2579</v>
      </c>
      <c r="B1257" t="s">
        <v>2580</v>
      </c>
      <c r="C1257" t="s">
        <v>56</v>
      </c>
      <c r="E1257" t="s">
        <v>2207</v>
      </c>
    </row>
    <row r="1258" spans="1:5" x14ac:dyDescent="0.4">
      <c r="A1258" t="s">
        <v>2581</v>
      </c>
      <c r="B1258" t="s">
        <v>2582</v>
      </c>
      <c r="C1258" t="s">
        <v>56</v>
      </c>
      <c r="E1258" t="s">
        <v>2207</v>
      </c>
    </row>
    <row r="1259" spans="1:5" x14ac:dyDescent="0.4">
      <c r="A1259" t="s">
        <v>2583</v>
      </c>
      <c r="B1259" t="s">
        <v>2584</v>
      </c>
      <c r="C1259" t="s">
        <v>56</v>
      </c>
      <c r="E1259" t="s">
        <v>2207</v>
      </c>
    </row>
    <row r="1260" spans="1:5" x14ac:dyDescent="0.4">
      <c r="A1260" t="s">
        <v>2585</v>
      </c>
      <c r="B1260" t="s">
        <v>2586</v>
      </c>
      <c r="C1260" t="s">
        <v>56</v>
      </c>
      <c r="E1260" t="s">
        <v>2207</v>
      </c>
    </row>
    <row r="1261" spans="1:5" x14ac:dyDescent="0.4">
      <c r="A1261" t="s">
        <v>2587</v>
      </c>
      <c r="B1261" t="s">
        <v>2588</v>
      </c>
      <c r="C1261" t="s">
        <v>6</v>
      </c>
      <c r="D1261" t="s">
        <v>10</v>
      </c>
      <c r="E1261" t="s">
        <v>2207</v>
      </c>
    </row>
    <row r="1262" spans="1:5" x14ac:dyDescent="0.4">
      <c r="A1262" t="s">
        <v>2589</v>
      </c>
      <c r="B1262" t="s">
        <v>2590</v>
      </c>
      <c r="C1262" t="s">
        <v>6</v>
      </c>
      <c r="D1262" t="s">
        <v>21</v>
      </c>
      <c r="E1262" t="s">
        <v>2207</v>
      </c>
    </row>
    <row r="1263" spans="1:5" x14ac:dyDescent="0.4">
      <c r="A1263" t="s">
        <v>2591</v>
      </c>
      <c r="B1263" t="s">
        <v>2592</v>
      </c>
      <c r="C1263" t="s">
        <v>6</v>
      </c>
      <c r="D1263" t="s">
        <v>7</v>
      </c>
      <c r="E1263" t="s">
        <v>2207</v>
      </c>
    </row>
    <row r="1264" spans="1:5" x14ac:dyDescent="0.4">
      <c r="A1264" t="s">
        <v>2593</v>
      </c>
      <c r="B1264" t="s">
        <v>2594</v>
      </c>
      <c r="C1264" t="s">
        <v>6</v>
      </c>
      <c r="D1264" t="s">
        <v>33</v>
      </c>
      <c r="E1264" t="s">
        <v>2207</v>
      </c>
    </row>
    <row r="1265" spans="1:5" x14ac:dyDescent="0.4">
      <c r="A1265" t="s">
        <v>2595</v>
      </c>
      <c r="B1265" t="s">
        <v>2596</v>
      </c>
      <c r="C1265" t="s">
        <v>6</v>
      </c>
      <c r="D1265" t="s">
        <v>30</v>
      </c>
      <c r="E1265" t="s">
        <v>2207</v>
      </c>
    </row>
    <row r="1266" spans="1:5" x14ac:dyDescent="0.4">
      <c r="A1266" t="s">
        <v>2597</v>
      </c>
      <c r="B1266" t="s">
        <v>2598</v>
      </c>
      <c r="C1266" t="s">
        <v>39</v>
      </c>
      <c r="E1266" t="s">
        <v>2207</v>
      </c>
    </row>
    <row r="1267" spans="1:5" x14ac:dyDescent="0.4">
      <c r="A1267" t="s">
        <v>2599</v>
      </c>
      <c r="B1267" t="s">
        <v>2600</v>
      </c>
      <c r="C1267" t="s">
        <v>39</v>
      </c>
      <c r="E1267" t="s">
        <v>2207</v>
      </c>
    </row>
    <row r="1268" spans="1:5" x14ac:dyDescent="0.4">
      <c r="A1268" t="s">
        <v>2601</v>
      </c>
      <c r="B1268" t="s">
        <v>2602</v>
      </c>
      <c r="C1268" t="s">
        <v>39</v>
      </c>
      <c r="E1268" t="s">
        <v>2207</v>
      </c>
    </row>
    <row r="1269" spans="1:5" x14ac:dyDescent="0.4">
      <c r="A1269" t="s">
        <v>2603</v>
      </c>
      <c r="B1269" t="s">
        <v>2604</v>
      </c>
      <c r="C1269" t="s">
        <v>39</v>
      </c>
      <c r="E1269" t="s">
        <v>2207</v>
      </c>
    </row>
    <row r="1270" spans="1:5" x14ac:dyDescent="0.4">
      <c r="A1270" t="s">
        <v>2605</v>
      </c>
      <c r="B1270" t="s">
        <v>2606</v>
      </c>
      <c r="C1270" t="s">
        <v>39</v>
      </c>
      <c r="E1270" t="s">
        <v>2207</v>
      </c>
    </row>
    <row r="1271" spans="1:5" x14ac:dyDescent="0.4">
      <c r="A1271" t="s">
        <v>2607</v>
      </c>
      <c r="B1271" t="s">
        <v>2608</v>
      </c>
      <c r="C1271" t="s">
        <v>56</v>
      </c>
      <c r="E1271" t="s">
        <v>2207</v>
      </c>
    </row>
    <row r="1272" spans="1:5" x14ac:dyDescent="0.4">
      <c r="A1272" t="s">
        <v>2609</v>
      </c>
      <c r="B1272" t="s">
        <v>2610</v>
      </c>
      <c r="C1272" t="s">
        <v>56</v>
      </c>
      <c r="E1272" t="s">
        <v>2207</v>
      </c>
    </row>
    <row r="1273" spans="1:5" x14ac:dyDescent="0.4">
      <c r="A1273" t="s">
        <v>2611</v>
      </c>
      <c r="B1273" t="s">
        <v>2612</v>
      </c>
      <c r="C1273" t="s">
        <v>56</v>
      </c>
      <c r="E1273" t="s">
        <v>2207</v>
      </c>
    </row>
    <row r="1274" spans="1:5" x14ac:dyDescent="0.4">
      <c r="A1274" t="s">
        <v>2613</v>
      </c>
      <c r="B1274" t="s">
        <v>2614</v>
      </c>
      <c r="C1274" t="s">
        <v>56</v>
      </c>
      <c r="E1274" t="s">
        <v>2207</v>
      </c>
    </row>
    <row r="1275" spans="1:5" x14ac:dyDescent="0.4">
      <c r="A1275" t="s">
        <v>2615</v>
      </c>
      <c r="B1275" t="s">
        <v>2616</v>
      </c>
      <c r="C1275" t="s">
        <v>56</v>
      </c>
      <c r="E1275" t="s">
        <v>2207</v>
      </c>
    </row>
    <row r="1276" spans="1:5" x14ac:dyDescent="0.4">
      <c r="A1276" t="s">
        <v>2617</v>
      </c>
      <c r="B1276" t="s">
        <v>2618</v>
      </c>
      <c r="C1276" t="s">
        <v>6</v>
      </c>
      <c r="D1276" t="s">
        <v>27</v>
      </c>
      <c r="E1276" t="s">
        <v>2207</v>
      </c>
    </row>
    <row r="1277" spans="1:5" x14ac:dyDescent="0.4">
      <c r="A1277" t="s">
        <v>2619</v>
      </c>
      <c r="B1277" t="s">
        <v>2620</v>
      </c>
      <c r="C1277" t="s">
        <v>6</v>
      </c>
      <c r="D1277" t="s">
        <v>30</v>
      </c>
      <c r="E1277" t="s">
        <v>2207</v>
      </c>
    </row>
    <row r="1278" spans="1:5" x14ac:dyDescent="0.4">
      <c r="A1278" t="s">
        <v>2621</v>
      </c>
      <c r="B1278" t="s">
        <v>2622</v>
      </c>
      <c r="C1278" t="s">
        <v>6</v>
      </c>
      <c r="D1278" t="s">
        <v>36</v>
      </c>
      <c r="E1278" t="s">
        <v>2207</v>
      </c>
    </row>
    <row r="1279" spans="1:5" x14ac:dyDescent="0.4">
      <c r="A1279" t="s">
        <v>2623</v>
      </c>
      <c r="B1279" t="s">
        <v>2624</v>
      </c>
      <c r="C1279" t="s">
        <v>6</v>
      </c>
      <c r="D1279" t="s">
        <v>30</v>
      </c>
      <c r="E1279" t="s">
        <v>2207</v>
      </c>
    </row>
    <row r="1280" spans="1:5" x14ac:dyDescent="0.4">
      <c r="A1280" t="s">
        <v>2625</v>
      </c>
      <c r="B1280" t="s">
        <v>2626</v>
      </c>
      <c r="C1280" t="s">
        <v>6</v>
      </c>
      <c r="D1280" t="s">
        <v>27</v>
      </c>
      <c r="E1280" t="s">
        <v>2207</v>
      </c>
    </row>
    <row r="1281" spans="1:5" x14ac:dyDescent="0.4">
      <c r="A1281" t="s">
        <v>2627</v>
      </c>
      <c r="B1281" t="s">
        <v>2628</v>
      </c>
      <c r="C1281" t="s">
        <v>39</v>
      </c>
      <c r="E1281" t="s">
        <v>2207</v>
      </c>
    </row>
    <row r="1282" spans="1:5" x14ac:dyDescent="0.4">
      <c r="A1282" t="s">
        <v>2629</v>
      </c>
      <c r="B1282" t="s">
        <v>2630</v>
      </c>
      <c r="C1282" t="s">
        <v>39</v>
      </c>
      <c r="E1282" t="s">
        <v>2207</v>
      </c>
    </row>
    <row r="1283" spans="1:5" x14ac:dyDescent="0.4">
      <c r="A1283" t="s">
        <v>2631</v>
      </c>
      <c r="B1283" t="s">
        <v>2632</v>
      </c>
      <c r="C1283" t="s">
        <v>39</v>
      </c>
      <c r="E1283" t="s">
        <v>2207</v>
      </c>
    </row>
    <row r="1284" spans="1:5" x14ac:dyDescent="0.4">
      <c r="A1284" t="s">
        <v>2633</v>
      </c>
      <c r="B1284" t="s">
        <v>2634</v>
      </c>
      <c r="C1284" t="s">
        <v>39</v>
      </c>
      <c r="E1284" t="s">
        <v>2207</v>
      </c>
    </row>
    <row r="1285" spans="1:5" x14ac:dyDescent="0.4">
      <c r="A1285" t="s">
        <v>2635</v>
      </c>
      <c r="B1285" t="s">
        <v>2636</v>
      </c>
      <c r="C1285" t="s">
        <v>39</v>
      </c>
      <c r="E1285" t="s">
        <v>2207</v>
      </c>
    </row>
    <row r="1286" spans="1:5" x14ac:dyDescent="0.4">
      <c r="A1286" t="s">
        <v>2637</v>
      </c>
      <c r="B1286" t="s">
        <v>2638</v>
      </c>
      <c r="C1286" t="s">
        <v>56</v>
      </c>
      <c r="E1286" t="s">
        <v>2207</v>
      </c>
    </row>
    <row r="1287" spans="1:5" x14ac:dyDescent="0.4">
      <c r="A1287" t="s">
        <v>2639</v>
      </c>
      <c r="B1287" t="s">
        <v>2640</v>
      </c>
      <c r="C1287" t="s">
        <v>56</v>
      </c>
      <c r="E1287" t="s">
        <v>2207</v>
      </c>
    </row>
    <row r="1288" spans="1:5" x14ac:dyDescent="0.4">
      <c r="A1288" t="s">
        <v>2641</v>
      </c>
      <c r="B1288" t="s">
        <v>2642</v>
      </c>
      <c r="C1288" t="s">
        <v>56</v>
      </c>
      <c r="E1288" t="s">
        <v>2207</v>
      </c>
    </row>
    <row r="1289" spans="1:5" x14ac:dyDescent="0.4">
      <c r="A1289" t="s">
        <v>2643</v>
      </c>
      <c r="B1289" t="s">
        <v>2644</v>
      </c>
      <c r="C1289" t="s">
        <v>56</v>
      </c>
      <c r="E1289" t="s">
        <v>2207</v>
      </c>
    </row>
    <row r="1290" spans="1:5" x14ac:dyDescent="0.4">
      <c r="A1290" t="s">
        <v>2645</v>
      </c>
      <c r="B1290" t="s">
        <v>2646</v>
      </c>
      <c r="C1290" t="s">
        <v>56</v>
      </c>
      <c r="E1290" t="s">
        <v>2207</v>
      </c>
    </row>
    <row r="1291" spans="1:5" x14ac:dyDescent="0.4">
      <c r="A1291" t="s">
        <v>2647</v>
      </c>
      <c r="B1291" t="s">
        <v>2648</v>
      </c>
      <c r="C1291" t="s">
        <v>6</v>
      </c>
      <c r="D1291" t="s">
        <v>27</v>
      </c>
      <c r="E1291" t="s">
        <v>2207</v>
      </c>
    </row>
    <row r="1292" spans="1:5" x14ac:dyDescent="0.4">
      <c r="A1292" t="s">
        <v>2649</v>
      </c>
      <c r="B1292" t="s">
        <v>2650</v>
      </c>
      <c r="C1292" t="s">
        <v>6</v>
      </c>
      <c r="D1292" t="s">
        <v>30</v>
      </c>
      <c r="E1292" t="s">
        <v>2207</v>
      </c>
    </row>
    <row r="1293" spans="1:5" x14ac:dyDescent="0.4">
      <c r="A1293" t="s">
        <v>2651</v>
      </c>
      <c r="B1293" t="s">
        <v>2652</v>
      </c>
      <c r="C1293" t="s">
        <v>6</v>
      </c>
      <c r="D1293" t="s">
        <v>36</v>
      </c>
      <c r="E1293" t="s">
        <v>2207</v>
      </c>
    </row>
    <row r="1294" spans="1:5" x14ac:dyDescent="0.4">
      <c r="A1294" t="s">
        <v>2653</v>
      </c>
      <c r="B1294" t="s">
        <v>2654</v>
      </c>
      <c r="C1294" t="s">
        <v>6</v>
      </c>
      <c r="D1294" t="s">
        <v>30</v>
      </c>
      <c r="E1294" t="s">
        <v>2207</v>
      </c>
    </row>
    <row r="1295" spans="1:5" x14ac:dyDescent="0.4">
      <c r="A1295" t="s">
        <v>2655</v>
      </c>
      <c r="B1295" t="s">
        <v>2656</v>
      </c>
      <c r="C1295" t="s">
        <v>6</v>
      </c>
      <c r="D1295" t="s">
        <v>27</v>
      </c>
      <c r="E1295" t="s">
        <v>2207</v>
      </c>
    </row>
    <row r="1296" spans="1:5" x14ac:dyDescent="0.4">
      <c r="A1296" t="s">
        <v>2657</v>
      </c>
      <c r="B1296" t="s">
        <v>2658</v>
      </c>
      <c r="C1296" t="s">
        <v>39</v>
      </c>
      <c r="E1296" t="s">
        <v>2207</v>
      </c>
    </row>
    <row r="1297" spans="1:5" x14ac:dyDescent="0.4">
      <c r="A1297" t="s">
        <v>2659</v>
      </c>
      <c r="B1297" t="s">
        <v>2660</v>
      </c>
      <c r="C1297" t="s">
        <v>39</v>
      </c>
      <c r="E1297" t="s">
        <v>2207</v>
      </c>
    </row>
    <row r="1298" spans="1:5" x14ac:dyDescent="0.4">
      <c r="A1298" t="s">
        <v>2661</v>
      </c>
      <c r="B1298" t="s">
        <v>2662</v>
      </c>
      <c r="C1298" t="s">
        <v>39</v>
      </c>
      <c r="E1298" t="s">
        <v>2207</v>
      </c>
    </row>
    <row r="1299" spans="1:5" x14ac:dyDescent="0.4">
      <c r="A1299" t="s">
        <v>2663</v>
      </c>
      <c r="B1299" t="s">
        <v>2664</v>
      </c>
      <c r="C1299" t="s">
        <v>39</v>
      </c>
      <c r="E1299" t="s">
        <v>2207</v>
      </c>
    </row>
    <row r="1300" spans="1:5" x14ac:dyDescent="0.4">
      <c r="A1300" t="s">
        <v>2665</v>
      </c>
      <c r="B1300" t="s">
        <v>2666</v>
      </c>
      <c r="C1300" t="s">
        <v>39</v>
      </c>
      <c r="E1300" t="s">
        <v>2207</v>
      </c>
    </row>
    <row r="1301" spans="1:5" x14ac:dyDescent="0.4">
      <c r="A1301" t="s">
        <v>2667</v>
      </c>
      <c r="B1301" t="s">
        <v>2668</v>
      </c>
      <c r="C1301" t="s">
        <v>56</v>
      </c>
      <c r="E1301" t="s">
        <v>2207</v>
      </c>
    </row>
    <row r="1302" spans="1:5" x14ac:dyDescent="0.4">
      <c r="A1302" t="s">
        <v>2669</v>
      </c>
      <c r="B1302" t="s">
        <v>2670</v>
      </c>
      <c r="C1302" t="s">
        <v>56</v>
      </c>
      <c r="E1302" t="s">
        <v>2207</v>
      </c>
    </row>
    <row r="1303" spans="1:5" x14ac:dyDescent="0.4">
      <c r="A1303" t="s">
        <v>2671</v>
      </c>
      <c r="B1303" t="s">
        <v>2672</v>
      </c>
      <c r="C1303" t="s">
        <v>56</v>
      </c>
      <c r="E1303" t="s">
        <v>2207</v>
      </c>
    </row>
    <row r="1304" spans="1:5" x14ac:dyDescent="0.4">
      <c r="A1304" t="s">
        <v>2673</v>
      </c>
      <c r="B1304" t="s">
        <v>2674</v>
      </c>
      <c r="C1304" t="s">
        <v>56</v>
      </c>
      <c r="E1304" t="s">
        <v>2207</v>
      </c>
    </row>
    <row r="1305" spans="1:5" x14ac:dyDescent="0.4">
      <c r="A1305" t="s">
        <v>2675</v>
      </c>
      <c r="B1305" t="s">
        <v>2676</v>
      </c>
      <c r="C1305" t="s">
        <v>56</v>
      </c>
      <c r="E1305" t="s">
        <v>2207</v>
      </c>
    </row>
    <row r="1306" spans="1:5" x14ac:dyDescent="0.4">
      <c r="A1306" t="s">
        <v>2677</v>
      </c>
      <c r="B1306" t="s">
        <v>2678</v>
      </c>
      <c r="C1306" t="s">
        <v>6</v>
      </c>
      <c r="D1306" t="s">
        <v>13</v>
      </c>
      <c r="E1306" t="s">
        <v>2849</v>
      </c>
    </row>
    <row r="1307" spans="1:5" x14ac:dyDescent="0.4">
      <c r="A1307" t="s">
        <v>2679</v>
      </c>
      <c r="B1307" t="s">
        <v>2680</v>
      </c>
      <c r="C1307" t="s">
        <v>6</v>
      </c>
      <c r="D1307" t="s">
        <v>16</v>
      </c>
      <c r="E1307" t="s">
        <v>2849</v>
      </c>
    </row>
    <row r="1308" spans="1:5" x14ac:dyDescent="0.4">
      <c r="A1308" t="s">
        <v>2681</v>
      </c>
      <c r="B1308" t="s">
        <v>2682</v>
      </c>
      <c r="C1308" t="s">
        <v>6</v>
      </c>
      <c r="D1308" t="s">
        <v>7</v>
      </c>
      <c r="E1308" t="s">
        <v>2849</v>
      </c>
    </row>
    <row r="1309" spans="1:5" x14ac:dyDescent="0.4">
      <c r="A1309" t="s">
        <v>2683</v>
      </c>
      <c r="B1309" t="s">
        <v>2684</v>
      </c>
      <c r="C1309" t="s">
        <v>6</v>
      </c>
      <c r="D1309" t="s">
        <v>24</v>
      </c>
      <c r="E1309" t="s">
        <v>2849</v>
      </c>
    </row>
    <row r="1310" spans="1:5" x14ac:dyDescent="0.4">
      <c r="A1310" t="s">
        <v>2685</v>
      </c>
      <c r="B1310" t="s">
        <v>2686</v>
      </c>
      <c r="C1310" t="s">
        <v>6</v>
      </c>
      <c r="D1310" t="s">
        <v>27</v>
      </c>
      <c r="E1310" t="s">
        <v>2849</v>
      </c>
    </row>
    <row r="1311" spans="1:5" x14ac:dyDescent="0.4">
      <c r="A1311" t="s">
        <v>2687</v>
      </c>
      <c r="B1311" t="s">
        <v>2688</v>
      </c>
      <c r="C1311" t="s">
        <v>39</v>
      </c>
      <c r="E1311" t="s">
        <v>2849</v>
      </c>
    </row>
    <row r="1312" spans="1:5" x14ac:dyDescent="0.4">
      <c r="A1312" t="s">
        <v>2689</v>
      </c>
      <c r="B1312" t="s">
        <v>2690</v>
      </c>
      <c r="C1312" t="s">
        <v>39</v>
      </c>
      <c r="E1312" t="s">
        <v>2849</v>
      </c>
    </row>
    <row r="1313" spans="1:5" x14ac:dyDescent="0.4">
      <c r="A1313" t="s">
        <v>2691</v>
      </c>
      <c r="B1313" t="s">
        <v>2692</v>
      </c>
      <c r="C1313" t="s">
        <v>39</v>
      </c>
      <c r="E1313" t="s">
        <v>2849</v>
      </c>
    </row>
    <row r="1314" spans="1:5" x14ac:dyDescent="0.4">
      <c r="A1314" t="s">
        <v>2693</v>
      </c>
      <c r="B1314" t="s">
        <v>2694</v>
      </c>
      <c r="C1314" t="s">
        <v>39</v>
      </c>
      <c r="E1314" t="s">
        <v>2849</v>
      </c>
    </row>
    <row r="1315" spans="1:5" x14ac:dyDescent="0.4">
      <c r="A1315" t="s">
        <v>2695</v>
      </c>
      <c r="B1315" t="s">
        <v>2696</v>
      </c>
      <c r="C1315" t="s">
        <v>39</v>
      </c>
      <c r="E1315" t="s">
        <v>2849</v>
      </c>
    </row>
    <row r="1316" spans="1:5" x14ac:dyDescent="0.4">
      <c r="A1316" t="s">
        <v>2697</v>
      </c>
      <c r="B1316" t="s">
        <v>2698</v>
      </c>
      <c r="C1316" t="s">
        <v>56</v>
      </c>
      <c r="E1316" t="s">
        <v>2849</v>
      </c>
    </row>
    <row r="1317" spans="1:5" x14ac:dyDescent="0.4">
      <c r="A1317" t="s">
        <v>2699</v>
      </c>
      <c r="B1317" t="s">
        <v>2700</v>
      </c>
      <c r="C1317" t="s">
        <v>39</v>
      </c>
      <c r="E1317" t="s">
        <v>2849</v>
      </c>
    </row>
    <row r="1318" spans="1:5" x14ac:dyDescent="0.4">
      <c r="A1318" t="s">
        <v>2701</v>
      </c>
      <c r="B1318" t="s">
        <v>2702</v>
      </c>
      <c r="C1318" t="s">
        <v>39</v>
      </c>
      <c r="E1318" t="s">
        <v>2849</v>
      </c>
    </row>
    <row r="1319" spans="1:5" x14ac:dyDescent="0.4">
      <c r="A1319" t="s">
        <v>2703</v>
      </c>
      <c r="B1319" t="s">
        <v>2704</v>
      </c>
      <c r="C1319" t="s">
        <v>39</v>
      </c>
      <c r="E1319" t="s">
        <v>2849</v>
      </c>
    </row>
    <row r="1320" spans="1:5" x14ac:dyDescent="0.4">
      <c r="A1320" t="s">
        <v>2705</v>
      </c>
      <c r="B1320" t="s">
        <v>2706</v>
      </c>
      <c r="C1320" t="s">
        <v>39</v>
      </c>
      <c r="E1320" t="s">
        <v>2849</v>
      </c>
    </row>
    <row r="1321" spans="1:5" x14ac:dyDescent="0.4">
      <c r="A1321" t="s">
        <v>2707</v>
      </c>
      <c r="B1321" t="s">
        <v>2708</v>
      </c>
      <c r="C1321" t="s">
        <v>6</v>
      </c>
      <c r="D1321" t="s">
        <v>13</v>
      </c>
      <c r="E1321" t="s">
        <v>2849</v>
      </c>
    </row>
    <row r="1322" spans="1:5" x14ac:dyDescent="0.4">
      <c r="A1322" t="s">
        <v>2709</v>
      </c>
      <c r="B1322" t="s">
        <v>2710</v>
      </c>
      <c r="C1322" t="s">
        <v>6</v>
      </c>
      <c r="D1322" t="s">
        <v>10</v>
      </c>
      <c r="E1322" t="s">
        <v>2849</v>
      </c>
    </row>
    <row r="1323" spans="1:5" x14ac:dyDescent="0.4">
      <c r="A1323" t="s">
        <v>2711</v>
      </c>
      <c r="B1323" t="s">
        <v>2712</v>
      </c>
      <c r="C1323" t="s">
        <v>6</v>
      </c>
      <c r="D1323" t="s">
        <v>16</v>
      </c>
      <c r="E1323" t="s">
        <v>2849</v>
      </c>
    </row>
    <row r="1324" spans="1:5" x14ac:dyDescent="0.4">
      <c r="A1324" t="s">
        <v>2713</v>
      </c>
      <c r="B1324" t="s">
        <v>2714</v>
      </c>
      <c r="C1324" t="s">
        <v>6</v>
      </c>
      <c r="D1324" t="s">
        <v>7</v>
      </c>
      <c r="E1324" t="s">
        <v>2849</v>
      </c>
    </row>
    <row r="1325" spans="1:5" x14ac:dyDescent="0.4">
      <c r="A1325" t="s">
        <v>2715</v>
      </c>
      <c r="B1325" t="s">
        <v>2716</v>
      </c>
      <c r="C1325" t="s">
        <v>6</v>
      </c>
      <c r="D1325" t="s">
        <v>24</v>
      </c>
      <c r="E1325" t="s">
        <v>2849</v>
      </c>
    </row>
    <row r="1326" spans="1:5" x14ac:dyDescent="0.4">
      <c r="A1326" t="s">
        <v>2717</v>
      </c>
      <c r="B1326" t="s">
        <v>2718</v>
      </c>
      <c r="C1326" t="s">
        <v>6</v>
      </c>
      <c r="D1326" t="s">
        <v>21</v>
      </c>
      <c r="E1326" t="s">
        <v>2849</v>
      </c>
    </row>
    <row r="1327" spans="1:5" x14ac:dyDescent="0.4">
      <c r="A1327" t="s">
        <v>2719</v>
      </c>
      <c r="B1327" t="s">
        <v>2720</v>
      </c>
      <c r="C1327" t="s">
        <v>6</v>
      </c>
      <c r="D1327" t="s">
        <v>27</v>
      </c>
      <c r="E1327" t="s">
        <v>2849</v>
      </c>
    </row>
    <row r="1328" spans="1:5" x14ac:dyDescent="0.4">
      <c r="A1328" t="s">
        <v>2721</v>
      </c>
      <c r="B1328" t="s">
        <v>2722</v>
      </c>
      <c r="C1328" t="s">
        <v>6</v>
      </c>
      <c r="D1328" t="s">
        <v>30</v>
      </c>
      <c r="E1328" t="s">
        <v>2849</v>
      </c>
    </row>
    <row r="1329" spans="1:5" x14ac:dyDescent="0.4">
      <c r="A1329" t="s">
        <v>2723</v>
      </c>
      <c r="B1329" t="s">
        <v>2724</v>
      </c>
      <c r="C1329" t="s">
        <v>6</v>
      </c>
      <c r="D1329" t="s">
        <v>10</v>
      </c>
      <c r="E1329" t="s">
        <v>2849</v>
      </c>
    </row>
    <row r="1330" spans="1:5" x14ac:dyDescent="0.4">
      <c r="A1330" t="s">
        <v>2725</v>
      </c>
      <c r="B1330" t="s">
        <v>2726</v>
      </c>
      <c r="C1330" t="s">
        <v>6</v>
      </c>
      <c r="D1330" t="s">
        <v>10</v>
      </c>
      <c r="E1330" t="s">
        <v>2849</v>
      </c>
    </row>
    <row r="1331" spans="1:5" x14ac:dyDescent="0.4">
      <c r="A1331" t="s">
        <v>2727</v>
      </c>
      <c r="B1331" t="s">
        <v>2728</v>
      </c>
      <c r="C1331" t="s">
        <v>39</v>
      </c>
      <c r="E1331" t="s">
        <v>2849</v>
      </c>
    </row>
    <row r="1332" spans="1:5" x14ac:dyDescent="0.4">
      <c r="A1332" t="s">
        <v>2729</v>
      </c>
      <c r="B1332" t="s">
        <v>2730</v>
      </c>
      <c r="C1332" t="s">
        <v>39</v>
      </c>
      <c r="E1332" t="s">
        <v>2849</v>
      </c>
    </row>
    <row r="1333" spans="1:5" x14ac:dyDescent="0.4">
      <c r="A1333" t="s">
        <v>2731</v>
      </c>
      <c r="B1333" t="s">
        <v>2732</v>
      </c>
      <c r="C1333" t="s">
        <v>39</v>
      </c>
      <c r="E1333" t="s">
        <v>2849</v>
      </c>
    </row>
    <row r="1334" spans="1:5" x14ac:dyDescent="0.4">
      <c r="A1334" t="s">
        <v>2733</v>
      </c>
      <c r="B1334" t="s">
        <v>2734</v>
      </c>
      <c r="C1334" t="s">
        <v>39</v>
      </c>
      <c r="E1334" t="s">
        <v>2849</v>
      </c>
    </row>
    <row r="1335" spans="1:5" x14ac:dyDescent="0.4">
      <c r="A1335" t="s">
        <v>2735</v>
      </c>
      <c r="B1335" t="s">
        <v>2736</v>
      </c>
      <c r="C1335" t="s">
        <v>39</v>
      </c>
      <c r="E1335" t="s">
        <v>2849</v>
      </c>
    </row>
    <row r="1336" spans="1:5" x14ac:dyDescent="0.4">
      <c r="A1336" t="s">
        <v>2737</v>
      </c>
      <c r="B1336" t="s">
        <v>2738</v>
      </c>
      <c r="C1336" t="s">
        <v>39</v>
      </c>
      <c r="E1336" t="s">
        <v>2849</v>
      </c>
    </row>
    <row r="1337" spans="1:5" x14ac:dyDescent="0.4">
      <c r="A1337" t="s">
        <v>2739</v>
      </c>
      <c r="B1337" t="s">
        <v>2740</v>
      </c>
      <c r="C1337" t="s">
        <v>39</v>
      </c>
      <c r="E1337" t="s">
        <v>2849</v>
      </c>
    </row>
    <row r="1338" spans="1:5" x14ac:dyDescent="0.4">
      <c r="A1338" t="s">
        <v>2741</v>
      </c>
      <c r="B1338" t="s">
        <v>2742</v>
      </c>
      <c r="C1338" t="s">
        <v>39</v>
      </c>
      <c r="E1338" t="s">
        <v>2849</v>
      </c>
    </row>
    <row r="1339" spans="1:5" x14ac:dyDescent="0.4">
      <c r="A1339" t="s">
        <v>2743</v>
      </c>
      <c r="B1339" t="s">
        <v>2744</v>
      </c>
      <c r="C1339" t="s">
        <v>39</v>
      </c>
      <c r="E1339" t="s">
        <v>2849</v>
      </c>
    </row>
    <row r="1340" spans="1:5" x14ac:dyDescent="0.4">
      <c r="A1340" t="s">
        <v>2745</v>
      </c>
      <c r="B1340" t="s">
        <v>2746</v>
      </c>
      <c r="C1340" t="s">
        <v>39</v>
      </c>
      <c r="E1340" t="s">
        <v>2849</v>
      </c>
    </row>
    <row r="1341" spans="1:5" x14ac:dyDescent="0.4">
      <c r="A1341" t="s">
        <v>2747</v>
      </c>
      <c r="B1341" t="s">
        <v>2748</v>
      </c>
      <c r="C1341" t="s">
        <v>56</v>
      </c>
      <c r="E1341" t="s">
        <v>2849</v>
      </c>
    </row>
    <row r="1342" spans="1:5" x14ac:dyDescent="0.4">
      <c r="A1342" t="s">
        <v>2749</v>
      </c>
      <c r="B1342" t="s">
        <v>2750</v>
      </c>
      <c r="C1342" t="s">
        <v>39</v>
      </c>
      <c r="E1342" t="s">
        <v>2849</v>
      </c>
    </row>
    <row r="1343" spans="1:5" x14ac:dyDescent="0.4">
      <c r="A1343" t="s">
        <v>2751</v>
      </c>
      <c r="B1343" t="s">
        <v>2752</v>
      </c>
      <c r="C1343" t="s">
        <v>39</v>
      </c>
      <c r="E1343" t="s">
        <v>2849</v>
      </c>
    </row>
    <row r="1344" spans="1:5" x14ac:dyDescent="0.4">
      <c r="A1344" t="s">
        <v>2753</v>
      </c>
      <c r="B1344" t="s">
        <v>2754</v>
      </c>
      <c r="C1344" t="s">
        <v>39</v>
      </c>
      <c r="E1344" t="s">
        <v>2849</v>
      </c>
    </row>
    <row r="1345" spans="1:5" x14ac:dyDescent="0.4">
      <c r="A1345" t="s">
        <v>2755</v>
      </c>
      <c r="B1345" t="s">
        <v>2756</v>
      </c>
      <c r="C1345" t="s">
        <v>39</v>
      </c>
      <c r="E1345" t="s">
        <v>2849</v>
      </c>
    </row>
    <row r="1346" spans="1:5" x14ac:dyDescent="0.4">
      <c r="A1346" t="s">
        <v>2757</v>
      </c>
      <c r="B1346" t="s">
        <v>2758</v>
      </c>
      <c r="C1346" t="s">
        <v>56</v>
      </c>
      <c r="E1346" t="s">
        <v>2849</v>
      </c>
    </row>
    <row r="1347" spans="1:5" x14ac:dyDescent="0.4">
      <c r="A1347" t="s">
        <v>2759</v>
      </c>
      <c r="B1347" t="s">
        <v>2760</v>
      </c>
      <c r="C1347" t="s">
        <v>39</v>
      </c>
      <c r="E1347" t="s">
        <v>2849</v>
      </c>
    </row>
    <row r="1348" spans="1:5" x14ac:dyDescent="0.4">
      <c r="A1348" t="s">
        <v>2761</v>
      </c>
      <c r="B1348" t="s">
        <v>2762</v>
      </c>
      <c r="C1348" t="s">
        <v>39</v>
      </c>
      <c r="E1348" t="s">
        <v>2849</v>
      </c>
    </row>
    <row r="1349" spans="1:5" x14ac:dyDescent="0.4">
      <c r="A1349" t="s">
        <v>2763</v>
      </c>
      <c r="B1349" t="s">
        <v>2764</v>
      </c>
      <c r="C1349" t="s">
        <v>39</v>
      </c>
      <c r="E1349" t="s">
        <v>2849</v>
      </c>
    </row>
    <row r="1350" spans="1:5" x14ac:dyDescent="0.4">
      <c r="A1350" t="s">
        <v>2765</v>
      </c>
      <c r="B1350" t="s">
        <v>2766</v>
      </c>
      <c r="C1350" t="s">
        <v>39</v>
      </c>
      <c r="E1350" t="s">
        <v>2849</v>
      </c>
    </row>
    <row r="1351" spans="1:5" x14ac:dyDescent="0.4">
      <c r="A1351" t="s">
        <v>2767</v>
      </c>
      <c r="B1351" t="s">
        <v>2768</v>
      </c>
      <c r="C1351" t="s">
        <v>56</v>
      </c>
      <c r="E1351" t="s">
        <v>2849</v>
      </c>
    </row>
    <row r="1352" spans="1:5" x14ac:dyDescent="0.4">
      <c r="A1352" t="s">
        <v>2769</v>
      </c>
      <c r="B1352" t="s">
        <v>2770</v>
      </c>
      <c r="C1352" t="s">
        <v>56</v>
      </c>
      <c r="E1352" t="s">
        <v>2849</v>
      </c>
    </row>
    <row r="1353" spans="1:5" x14ac:dyDescent="0.4">
      <c r="A1353" t="s">
        <v>2771</v>
      </c>
      <c r="B1353" t="s">
        <v>2772</v>
      </c>
      <c r="C1353" t="s">
        <v>56</v>
      </c>
      <c r="E1353" t="s">
        <v>2849</v>
      </c>
    </row>
    <row r="1354" spans="1:5" x14ac:dyDescent="0.4">
      <c r="A1354" t="s">
        <v>2773</v>
      </c>
      <c r="B1354" t="s">
        <v>2774</v>
      </c>
      <c r="C1354" t="s">
        <v>56</v>
      </c>
      <c r="E1354" t="s">
        <v>2849</v>
      </c>
    </row>
    <row r="1355" spans="1:5" x14ac:dyDescent="0.4">
      <c r="A1355" t="s">
        <v>2775</v>
      </c>
      <c r="B1355" t="s">
        <v>2776</v>
      </c>
      <c r="C1355" t="s">
        <v>56</v>
      </c>
      <c r="E1355" t="s">
        <v>2849</v>
      </c>
    </row>
    <row r="1356" spans="1:5" x14ac:dyDescent="0.4">
      <c r="A1356" t="s">
        <v>2777</v>
      </c>
      <c r="B1356" t="s">
        <v>2778</v>
      </c>
      <c r="C1356" t="s">
        <v>56</v>
      </c>
      <c r="E1356" t="s">
        <v>2849</v>
      </c>
    </row>
    <row r="1357" spans="1:5" x14ac:dyDescent="0.4">
      <c r="A1357" t="s">
        <v>2779</v>
      </c>
      <c r="B1357" t="s">
        <v>2780</v>
      </c>
      <c r="C1357" t="s">
        <v>56</v>
      </c>
      <c r="E1357" t="s">
        <v>2849</v>
      </c>
    </row>
    <row r="1358" spans="1:5" x14ac:dyDescent="0.4">
      <c r="A1358" t="s">
        <v>2781</v>
      </c>
      <c r="B1358" t="s">
        <v>2782</v>
      </c>
      <c r="C1358" t="s">
        <v>56</v>
      </c>
      <c r="E1358" t="s">
        <v>2849</v>
      </c>
    </row>
    <row r="1359" spans="1:5" x14ac:dyDescent="0.4">
      <c r="A1359" t="s">
        <v>2783</v>
      </c>
      <c r="B1359" t="s">
        <v>2784</v>
      </c>
      <c r="C1359" t="s">
        <v>56</v>
      </c>
      <c r="E1359" t="s">
        <v>2849</v>
      </c>
    </row>
    <row r="1360" spans="1:5" x14ac:dyDescent="0.4">
      <c r="A1360" t="s">
        <v>2785</v>
      </c>
      <c r="B1360" t="s">
        <v>2786</v>
      </c>
      <c r="C1360" t="s">
        <v>56</v>
      </c>
      <c r="E1360" t="s">
        <v>2849</v>
      </c>
    </row>
    <row r="1361" spans="1:5" x14ac:dyDescent="0.4">
      <c r="A1361" t="s">
        <v>2787</v>
      </c>
      <c r="B1361" t="s">
        <v>2788</v>
      </c>
      <c r="C1361" t="s">
        <v>6</v>
      </c>
      <c r="D1361" t="s">
        <v>13</v>
      </c>
      <c r="E1361" t="s">
        <v>2849</v>
      </c>
    </row>
    <row r="1362" spans="1:5" x14ac:dyDescent="0.4">
      <c r="A1362" t="s">
        <v>2789</v>
      </c>
      <c r="B1362" t="s">
        <v>2790</v>
      </c>
      <c r="C1362" t="s">
        <v>6</v>
      </c>
      <c r="D1362" t="s">
        <v>16</v>
      </c>
      <c r="E1362" t="s">
        <v>2849</v>
      </c>
    </row>
    <row r="1363" spans="1:5" x14ac:dyDescent="0.4">
      <c r="A1363" t="s">
        <v>2791</v>
      </c>
      <c r="B1363" t="s">
        <v>2792</v>
      </c>
      <c r="C1363" t="s">
        <v>6</v>
      </c>
      <c r="D1363" t="s">
        <v>7</v>
      </c>
      <c r="E1363" t="s">
        <v>2849</v>
      </c>
    </row>
    <row r="1364" spans="1:5" x14ac:dyDescent="0.4">
      <c r="A1364" t="s">
        <v>2793</v>
      </c>
      <c r="B1364" t="s">
        <v>2794</v>
      </c>
      <c r="C1364" t="s">
        <v>6</v>
      </c>
      <c r="D1364" t="s">
        <v>21</v>
      </c>
      <c r="E1364" t="s">
        <v>2849</v>
      </c>
    </row>
    <row r="1365" spans="1:5" x14ac:dyDescent="0.4">
      <c r="A1365" t="s">
        <v>2795</v>
      </c>
      <c r="B1365" t="s">
        <v>2796</v>
      </c>
      <c r="C1365" t="s">
        <v>6</v>
      </c>
      <c r="D1365" t="s">
        <v>13</v>
      </c>
      <c r="E1365" t="s">
        <v>2849</v>
      </c>
    </row>
    <row r="1366" spans="1:5" x14ac:dyDescent="0.4">
      <c r="A1366" t="s">
        <v>2797</v>
      </c>
      <c r="B1366" t="s">
        <v>2798</v>
      </c>
      <c r="C1366" t="s">
        <v>6</v>
      </c>
      <c r="D1366" t="s">
        <v>24</v>
      </c>
      <c r="E1366" t="s">
        <v>2849</v>
      </c>
    </row>
    <row r="1367" spans="1:5" x14ac:dyDescent="0.4">
      <c r="A1367" t="s">
        <v>2799</v>
      </c>
      <c r="B1367" t="s">
        <v>2800</v>
      </c>
      <c r="C1367" t="s">
        <v>6</v>
      </c>
      <c r="D1367" t="s">
        <v>36</v>
      </c>
      <c r="E1367" t="s">
        <v>2849</v>
      </c>
    </row>
    <row r="1368" spans="1:5" x14ac:dyDescent="0.4">
      <c r="A1368" t="s">
        <v>2801</v>
      </c>
      <c r="B1368" t="s">
        <v>2802</v>
      </c>
      <c r="C1368" t="s">
        <v>6</v>
      </c>
      <c r="D1368" t="s">
        <v>33</v>
      </c>
      <c r="E1368" t="s">
        <v>2849</v>
      </c>
    </row>
    <row r="1369" spans="1:5" x14ac:dyDescent="0.4">
      <c r="A1369" t="s">
        <v>2803</v>
      </c>
      <c r="B1369" t="s">
        <v>2804</v>
      </c>
      <c r="C1369" t="s">
        <v>6</v>
      </c>
      <c r="D1369" t="s">
        <v>27</v>
      </c>
      <c r="E1369" t="s">
        <v>2849</v>
      </c>
    </row>
    <row r="1370" spans="1:5" x14ac:dyDescent="0.4">
      <c r="A1370" t="s">
        <v>2805</v>
      </c>
      <c r="B1370" t="s">
        <v>2806</v>
      </c>
      <c r="C1370" t="s">
        <v>6</v>
      </c>
      <c r="D1370" t="s">
        <v>30</v>
      </c>
      <c r="E1370" t="s">
        <v>2849</v>
      </c>
    </row>
    <row r="1371" spans="1:5" x14ac:dyDescent="0.4">
      <c r="A1371" t="s">
        <v>2807</v>
      </c>
      <c r="B1371" t="s">
        <v>2808</v>
      </c>
      <c r="C1371" t="s">
        <v>39</v>
      </c>
      <c r="E1371" t="s">
        <v>2849</v>
      </c>
    </row>
    <row r="1372" spans="1:5" x14ac:dyDescent="0.4">
      <c r="A1372" t="s">
        <v>2809</v>
      </c>
      <c r="B1372" t="s">
        <v>2810</v>
      </c>
      <c r="C1372" t="s">
        <v>39</v>
      </c>
      <c r="E1372" t="s">
        <v>2849</v>
      </c>
    </row>
    <row r="1373" spans="1:5" x14ac:dyDescent="0.4">
      <c r="A1373" t="s">
        <v>2811</v>
      </c>
      <c r="B1373" t="s">
        <v>2812</v>
      </c>
      <c r="C1373" t="s">
        <v>39</v>
      </c>
      <c r="E1373" t="s">
        <v>2849</v>
      </c>
    </row>
    <row r="1374" spans="1:5" x14ac:dyDescent="0.4">
      <c r="A1374" t="s">
        <v>2813</v>
      </c>
      <c r="B1374" t="s">
        <v>2814</v>
      </c>
      <c r="C1374" t="s">
        <v>39</v>
      </c>
      <c r="E1374" t="s">
        <v>2849</v>
      </c>
    </row>
    <row r="1375" spans="1:5" x14ac:dyDescent="0.4">
      <c r="A1375" t="s">
        <v>2815</v>
      </c>
      <c r="B1375" t="s">
        <v>2816</v>
      </c>
      <c r="C1375" t="s">
        <v>39</v>
      </c>
      <c r="E1375" t="s">
        <v>2849</v>
      </c>
    </row>
    <row r="1376" spans="1:5" x14ac:dyDescent="0.4">
      <c r="A1376" t="s">
        <v>2817</v>
      </c>
      <c r="B1376" t="s">
        <v>2818</v>
      </c>
      <c r="C1376" t="s">
        <v>39</v>
      </c>
      <c r="E1376" t="s">
        <v>2849</v>
      </c>
    </row>
    <row r="1377" spans="1:5" x14ac:dyDescent="0.4">
      <c r="A1377" t="s">
        <v>2819</v>
      </c>
      <c r="B1377" t="s">
        <v>2820</v>
      </c>
      <c r="C1377" t="s">
        <v>39</v>
      </c>
      <c r="E1377" t="s">
        <v>2849</v>
      </c>
    </row>
    <row r="1378" spans="1:5" x14ac:dyDescent="0.4">
      <c r="A1378" t="s">
        <v>2821</v>
      </c>
      <c r="B1378" t="s">
        <v>2822</v>
      </c>
      <c r="C1378" t="s">
        <v>39</v>
      </c>
      <c r="E1378" t="s">
        <v>2849</v>
      </c>
    </row>
    <row r="1379" spans="1:5" x14ac:dyDescent="0.4">
      <c r="A1379" t="s">
        <v>2823</v>
      </c>
      <c r="B1379" t="s">
        <v>2824</v>
      </c>
      <c r="C1379" t="s">
        <v>39</v>
      </c>
      <c r="E1379" t="s">
        <v>2849</v>
      </c>
    </row>
    <row r="1380" spans="1:5" x14ac:dyDescent="0.4">
      <c r="A1380" t="s">
        <v>2825</v>
      </c>
      <c r="B1380" t="s">
        <v>2826</v>
      </c>
      <c r="C1380" t="s">
        <v>39</v>
      </c>
      <c r="E1380" t="s">
        <v>2849</v>
      </c>
    </row>
    <row r="1381" spans="1:5" x14ac:dyDescent="0.4">
      <c r="A1381" t="s">
        <v>2827</v>
      </c>
      <c r="B1381" t="s">
        <v>2828</v>
      </c>
      <c r="C1381" t="s">
        <v>56</v>
      </c>
      <c r="E1381" t="s">
        <v>2849</v>
      </c>
    </row>
    <row r="1382" spans="1:5" x14ac:dyDescent="0.4">
      <c r="A1382" t="s">
        <v>2829</v>
      </c>
      <c r="B1382" t="s">
        <v>2830</v>
      </c>
      <c r="C1382" t="s">
        <v>56</v>
      </c>
      <c r="E1382" t="s">
        <v>2849</v>
      </c>
    </row>
    <row r="1383" spans="1:5" x14ac:dyDescent="0.4">
      <c r="A1383" t="s">
        <v>2831</v>
      </c>
      <c r="B1383" t="s">
        <v>2832</v>
      </c>
      <c r="C1383" t="s">
        <v>56</v>
      </c>
      <c r="E1383" t="s">
        <v>2849</v>
      </c>
    </row>
    <row r="1384" spans="1:5" x14ac:dyDescent="0.4">
      <c r="A1384" t="s">
        <v>2833</v>
      </c>
      <c r="B1384" t="s">
        <v>2834</v>
      </c>
      <c r="C1384" t="s">
        <v>56</v>
      </c>
      <c r="E1384" t="s">
        <v>2849</v>
      </c>
    </row>
    <row r="1385" spans="1:5" x14ac:dyDescent="0.4">
      <c r="A1385" t="s">
        <v>2835</v>
      </c>
      <c r="B1385" t="s">
        <v>2836</v>
      </c>
      <c r="C1385" t="s">
        <v>56</v>
      </c>
      <c r="E1385" t="s">
        <v>2849</v>
      </c>
    </row>
    <row r="1386" spans="1:5" x14ac:dyDescent="0.4">
      <c r="A1386" t="s">
        <v>2837</v>
      </c>
      <c r="B1386" t="s">
        <v>2838</v>
      </c>
      <c r="C1386" t="s">
        <v>56</v>
      </c>
      <c r="E1386" t="s">
        <v>2849</v>
      </c>
    </row>
    <row r="1387" spans="1:5" x14ac:dyDescent="0.4">
      <c r="A1387" t="s">
        <v>2839</v>
      </c>
      <c r="B1387" t="s">
        <v>2840</v>
      </c>
      <c r="C1387" t="s">
        <v>56</v>
      </c>
      <c r="E1387" t="s">
        <v>2849</v>
      </c>
    </row>
    <row r="1388" spans="1:5" x14ac:dyDescent="0.4">
      <c r="A1388" t="s">
        <v>2841</v>
      </c>
      <c r="B1388" t="s">
        <v>2842</v>
      </c>
      <c r="C1388" t="s">
        <v>56</v>
      </c>
      <c r="E1388" t="s">
        <v>2849</v>
      </c>
    </row>
    <row r="1389" spans="1:5" x14ac:dyDescent="0.4">
      <c r="A1389" t="s">
        <v>2843</v>
      </c>
      <c r="B1389" t="s">
        <v>2844</v>
      </c>
      <c r="C1389" t="s">
        <v>56</v>
      </c>
      <c r="E1389" t="s">
        <v>2849</v>
      </c>
    </row>
    <row r="1390" spans="1:5" x14ac:dyDescent="0.4">
      <c r="A1390" t="s">
        <v>2845</v>
      </c>
      <c r="B1390" t="s">
        <v>2846</v>
      </c>
      <c r="C1390" t="s">
        <v>56</v>
      </c>
      <c r="E1390" t="s">
        <v>2849</v>
      </c>
    </row>
    <row r="1391" spans="1:5" x14ac:dyDescent="0.4">
      <c r="A1391" t="s">
        <v>2847</v>
      </c>
      <c r="B1391" t="s">
        <v>2848</v>
      </c>
      <c r="C1391" t="s">
        <v>56</v>
      </c>
      <c r="E1391" t="s">
        <v>2849</v>
      </c>
    </row>
    <row r="1392" spans="1:5" x14ac:dyDescent="0.4">
      <c r="A1392" t="s">
        <v>2850</v>
      </c>
      <c r="B1392" t="s">
        <v>2851</v>
      </c>
      <c r="C1392" t="s">
        <v>6</v>
      </c>
      <c r="D1392" t="s">
        <v>16</v>
      </c>
      <c r="E1392" t="s">
        <v>2211</v>
      </c>
    </row>
    <row r="1393" spans="1:5" x14ac:dyDescent="0.4">
      <c r="A1393" t="s">
        <v>2852</v>
      </c>
      <c r="B1393" t="s">
        <v>2853</v>
      </c>
      <c r="C1393" t="s">
        <v>6</v>
      </c>
      <c r="D1393" t="s">
        <v>13</v>
      </c>
      <c r="E1393" t="s">
        <v>2211</v>
      </c>
    </row>
    <row r="1394" spans="1:5" x14ac:dyDescent="0.4">
      <c r="A1394" t="s">
        <v>2854</v>
      </c>
      <c r="B1394" t="s">
        <v>2855</v>
      </c>
      <c r="C1394" t="s">
        <v>6</v>
      </c>
      <c r="D1394" t="s">
        <v>16</v>
      </c>
      <c r="E1394" t="s">
        <v>2211</v>
      </c>
    </row>
    <row r="1395" spans="1:5" x14ac:dyDescent="0.4">
      <c r="A1395" t="s">
        <v>2856</v>
      </c>
      <c r="B1395" t="s">
        <v>2857</v>
      </c>
      <c r="C1395" t="s">
        <v>6</v>
      </c>
      <c r="D1395" t="s">
        <v>10</v>
      </c>
      <c r="E1395" t="s">
        <v>2211</v>
      </c>
    </row>
    <row r="1396" spans="1:5" x14ac:dyDescent="0.4">
      <c r="A1396" t="s">
        <v>2858</v>
      </c>
      <c r="B1396" t="s">
        <v>2859</v>
      </c>
      <c r="C1396" t="s">
        <v>6</v>
      </c>
      <c r="D1396" t="s">
        <v>36</v>
      </c>
      <c r="E1396" t="s">
        <v>2211</v>
      </c>
    </row>
    <row r="1397" spans="1:5" x14ac:dyDescent="0.4">
      <c r="A1397" t="s">
        <v>2860</v>
      </c>
      <c r="B1397" t="s">
        <v>2861</v>
      </c>
      <c r="C1397" t="s">
        <v>39</v>
      </c>
      <c r="E1397" t="s">
        <v>2211</v>
      </c>
    </row>
    <row r="1398" spans="1:5" x14ac:dyDescent="0.4">
      <c r="A1398" t="s">
        <v>2862</v>
      </c>
      <c r="B1398" t="s">
        <v>2863</v>
      </c>
      <c r="C1398" t="s">
        <v>39</v>
      </c>
      <c r="E1398" t="s">
        <v>2211</v>
      </c>
    </row>
    <row r="1399" spans="1:5" x14ac:dyDescent="0.4">
      <c r="A1399" t="s">
        <v>2864</v>
      </c>
      <c r="B1399" t="s">
        <v>2865</v>
      </c>
      <c r="C1399" t="s">
        <v>39</v>
      </c>
      <c r="E1399" t="s">
        <v>2211</v>
      </c>
    </row>
    <row r="1400" spans="1:5" x14ac:dyDescent="0.4">
      <c r="A1400" t="s">
        <v>2866</v>
      </c>
      <c r="B1400" t="s">
        <v>2867</v>
      </c>
      <c r="C1400" t="s">
        <v>56</v>
      </c>
      <c r="E1400" t="s">
        <v>2211</v>
      </c>
    </row>
    <row r="1401" spans="1:5" x14ac:dyDescent="0.4">
      <c r="A1401" t="s">
        <v>2868</v>
      </c>
      <c r="B1401" t="s">
        <v>2869</v>
      </c>
      <c r="C1401" t="s">
        <v>39</v>
      </c>
      <c r="E1401" t="s">
        <v>2211</v>
      </c>
    </row>
    <row r="1402" spans="1:5" x14ac:dyDescent="0.4">
      <c r="A1402" t="s">
        <v>2870</v>
      </c>
      <c r="B1402" t="s">
        <v>2871</v>
      </c>
      <c r="C1402" t="s">
        <v>56</v>
      </c>
      <c r="E1402" t="s">
        <v>2211</v>
      </c>
    </row>
    <row r="1403" spans="1:5" x14ac:dyDescent="0.4">
      <c r="A1403" t="s">
        <v>2872</v>
      </c>
      <c r="B1403" t="s">
        <v>2873</v>
      </c>
      <c r="C1403" t="s">
        <v>56</v>
      </c>
      <c r="E1403" t="s">
        <v>2211</v>
      </c>
    </row>
    <row r="1404" spans="1:5" x14ac:dyDescent="0.4">
      <c r="A1404" t="s">
        <v>2874</v>
      </c>
      <c r="B1404" t="s">
        <v>2875</v>
      </c>
      <c r="C1404" t="s">
        <v>56</v>
      </c>
      <c r="E1404" t="s">
        <v>2211</v>
      </c>
    </row>
    <row r="1405" spans="1:5" x14ac:dyDescent="0.4">
      <c r="A1405" t="s">
        <v>2876</v>
      </c>
      <c r="B1405" t="s">
        <v>2877</v>
      </c>
      <c r="C1405" t="s">
        <v>56</v>
      </c>
      <c r="E1405" t="s">
        <v>2211</v>
      </c>
    </row>
    <row r="1406" spans="1:5" x14ac:dyDescent="0.4">
      <c r="A1406" t="s">
        <v>2878</v>
      </c>
      <c r="B1406" t="s">
        <v>2879</v>
      </c>
      <c r="C1406" t="s">
        <v>56</v>
      </c>
      <c r="E1406" t="s">
        <v>2211</v>
      </c>
    </row>
    <row r="1407" spans="1:5" x14ac:dyDescent="0.4">
      <c r="A1407" t="s">
        <v>2880</v>
      </c>
      <c r="B1407" t="s">
        <v>2881</v>
      </c>
      <c r="C1407" t="s">
        <v>6</v>
      </c>
      <c r="D1407" t="s">
        <v>7</v>
      </c>
      <c r="E1407" t="s">
        <v>2211</v>
      </c>
    </row>
    <row r="1408" spans="1:5" x14ac:dyDescent="0.4">
      <c r="A1408" t="s">
        <v>2882</v>
      </c>
      <c r="B1408" t="s">
        <v>2883</v>
      </c>
      <c r="C1408" t="s">
        <v>6</v>
      </c>
      <c r="D1408" t="s">
        <v>13</v>
      </c>
      <c r="E1408" t="s">
        <v>2211</v>
      </c>
    </row>
    <row r="1409" spans="1:5" x14ac:dyDescent="0.4">
      <c r="A1409" t="s">
        <v>2884</v>
      </c>
      <c r="B1409" t="s">
        <v>2885</v>
      </c>
      <c r="C1409" t="s">
        <v>6</v>
      </c>
      <c r="D1409" t="s">
        <v>10</v>
      </c>
      <c r="E1409" t="s">
        <v>2211</v>
      </c>
    </row>
    <row r="1410" spans="1:5" x14ac:dyDescent="0.4">
      <c r="A1410" t="s">
        <v>2886</v>
      </c>
      <c r="B1410" t="s">
        <v>2887</v>
      </c>
      <c r="C1410" t="s">
        <v>6</v>
      </c>
      <c r="D1410" t="s">
        <v>16</v>
      </c>
      <c r="E1410" t="s">
        <v>2211</v>
      </c>
    </row>
    <row r="1411" spans="1:5" x14ac:dyDescent="0.4">
      <c r="A1411" t="s">
        <v>2888</v>
      </c>
      <c r="B1411" t="s">
        <v>2889</v>
      </c>
      <c r="C1411" t="s">
        <v>6</v>
      </c>
      <c r="D1411" t="s">
        <v>36</v>
      </c>
      <c r="E1411" t="s">
        <v>2211</v>
      </c>
    </row>
    <row r="1412" spans="1:5" x14ac:dyDescent="0.4">
      <c r="A1412" t="s">
        <v>2890</v>
      </c>
      <c r="B1412" t="s">
        <v>2891</v>
      </c>
      <c r="C1412" t="s">
        <v>39</v>
      </c>
      <c r="E1412" t="s">
        <v>2211</v>
      </c>
    </row>
    <row r="1413" spans="1:5" x14ac:dyDescent="0.4">
      <c r="A1413" t="s">
        <v>2892</v>
      </c>
      <c r="B1413" t="s">
        <v>2893</v>
      </c>
      <c r="C1413" t="s">
        <v>39</v>
      </c>
      <c r="E1413" t="s">
        <v>2211</v>
      </c>
    </row>
    <row r="1414" spans="1:5" x14ac:dyDescent="0.4">
      <c r="A1414" t="s">
        <v>2894</v>
      </c>
      <c r="B1414" t="s">
        <v>2895</v>
      </c>
      <c r="C1414" t="s">
        <v>39</v>
      </c>
      <c r="E1414" t="s">
        <v>2211</v>
      </c>
    </row>
    <row r="1415" spans="1:5" x14ac:dyDescent="0.4">
      <c r="A1415" t="s">
        <v>2896</v>
      </c>
      <c r="B1415" t="s">
        <v>2897</v>
      </c>
      <c r="C1415" t="s">
        <v>39</v>
      </c>
      <c r="E1415" t="s">
        <v>2211</v>
      </c>
    </row>
    <row r="1416" spans="1:5" x14ac:dyDescent="0.4">
      <c r="A1416" t="s">
        <v>2898</v>
      </c>
      <c r="B1416" t="s">
        <v>2899</v>
      </c>
      <c r="C1416" t="s">
        <v>39</v>
      </c>
      <c r="E1416" t="s">
        <v>2211</v>
      </c>
    </row>
    <row r="1417" spans="1:5" x14ac:dyDescent="0.4">
      <c r="A1417" t="s">
        <v>2900</v>
      </c>
      <c r="B1417" t="s">
        <v>2901</v>
      </c>
      <c r="C1417" t="s">
        <v>56</v>
      </c>
      <c r="E1417" t="s">
        <v>2211</v>
      </c>
    </row>
    <row r="1418" spans="1:5" x14ac:dyDescent="0.4">
      <c r="A1418" t="s">
        <v>2902</v>
      </c>
      <c r="B1418" t="s">
        <v>2903</v>
      </c>
      <c r="C1418" t="s">
        <v>56</v>
      </c>
      <c r="E1418" t="s">
        <v>2211</v>
      </c>
    </row>
    <row r="1419" spans="1:5" x14ac:dyDescent="0.4">
      <c r="A1419" t="s">
        <v>2904</v>
      </c>
      <c r="B1419" t="s">
        <v>2905</v>
      </c>
      <c r="C1419" t="s">
        <v>56</v>
      </c>
      <c r="E1419" t="s">
        <v>2211</v>
      </c>
    </row>
    <row r="1420" spans="1:5" x14ac:dyDescent="0.4">
      <c r="A1420" t="s">
        <v>2906</v>
      </c>
      <c r="B1420" t="s">
        <v>2907</v>
      </c>
      <c r="C1420" t="s">
        <v>56</v>
      </c>
      <c r="E1420" t="s">
        <v>2211</v>
      </c>
    </row>
    <row r="1421" spans="1:5" x14ac:dyDescent="0.4">
      <c r="A1421" t="s">
        <v>2908</v>
      </c>
      <c r="B1421" t="s">
        <v>2909</v>
      </c>
      <c r="C1421" t="s">
        <v>56</v>
      </c>
      <c r="E1421" t="s">
        <v>2211</v>
      </c>
    </row>
    <row r="1422" spans="1:5" x14ac:dyDescent="0.4">
      <c r="A1422" t="s">
        <v>2910</v>
      </c>
      <c r="B1422" t="s">
        <v>2911</v>
      </c>
      <c r="C1422" t="s">
        <v>6</v>
      </c>
      <c r="D1422" t="s">
        <v>24</v>
      </c>
      <c r="E1422" t="s">
        <v>2211</v>
      </c>
    </row>
    <row r="1423" spans="1:5" x14ac:dyDescent="0.4">
      <c r="A1423" t="s">
        <v>2912</v>
      </c>
      <c r="B1423" t="s">
        <v>2913</v>
      </c>
      <c r="C1423" t="s">
        <v>6</v>
      </c>
      <c r="D1423" t="s">
        <v>13</v>
      </c>
      <c r="E1423" t="s">
        <v>2211</v>
      </c>
    </row>
    <row r="1424" spans="1:5" x14ac:dyDescent="0.4">
      <c r="A1424" t="s">
        <v>2914</v>
      </c>
      <c r="B1424" t="s">
        <v>2915</v>
      </c>
      <c r="C1424" t="s">
        <v>6</v>
      </c>
      <c r="D1424" t="s">
        <v>16</v>
      </c>
      <c r="E1424" t="s">
        <v>2211</v>
      </c>
    </row>
    <row r="1425" spans="1:5" x14ac:dyDescent="0.4">
      <c r="A1425" t="s">
        <v>2916</v>
      </c>
      <c r="B1425" t="s">
        <v>2917</v>
      </c>
      <c r="C1425" t="s">
        <v>6</v>
      </c>
      <c r="D1425" t="s">
        <v>21</v>
      </c>
      <c r="E1425" t="s">
        <v>2211</v>
      </c>
    </row>
    <row r="1426" spans="1:5" x14ac:dyDescent="0.4">
      <c r="A1426" t="s">
        <v>2918</v>
      </c>
      <c r="B1426" t="s">
        <v>2919</v>
      </c>
      <c r="C1426" t="s">
        <v>6</v>
      </c>
      <c r="D1426" t="s">
        <v>36</v>
      </c>
      <c r="E1426" t="s">
        <v>2211</v>
      </c>
    </row>
    <row r="1427" spans="1:5" x14ac:dyDescent="0.4">
      <c r="A1427" t="s">
        <v>2920</v>
      </c>
      <c r="B1427" t="s">
        <v>2921</v>
      </c>
      <c r="C1427" t="s">
        <v>39</v>
      </c>
      <c r="E1427" t="s">
        <v>2211</v>
      </c>
    </row>
    <row r="1428" spans="1:5" x14ac:dyDescent="0.4">
      <c r="A1428" t="s">
        <v>2922</v>
      </c>
      <c r="B1428" t="s">
        <v>2923</v>
      </c>
      <c r="C1428" t="s">
        <v>39</v>
      </c>
      <c r="E1428" t="s">
        <v>2211</v>
      </c>
    </row>
    <row r="1429" spans="1:5" x14ac:dyDescent="0.4">
      <c r="A1429" t="s">
        <v>2924</v>
      </c>
      <c r="B1429" t="s">
        <v>2925</v>
      </c>
      <c r="C1429" t="s">
        <v>39</v>
      </c>
      <c r="E1429" t="s">
        <v>2211</v>
      </c>
    </row>
    <row r="1430" spans="1:5" x14ac:dyDescent="0.4">
      <c r="A1430" t="s">
        <v>2926</v>
      </c>
      <c r="B1430" t="s">
        <v>2927</v>
      </c>
      <c r="C1430" t="s">
        <v>39</v>
      </c>
      <c r="E1430" t="s">
        <v>2211</v>
      </c>
    </row>
    <row r="1431" spans="1:5" x14ac:dyDescent="0.4">
      <c r="A1431" t="s">
        <v>2928</v>
      </c>
      <c r="B1431" t="s">
        <v>2929</v>
      </c>
      <c r="C1431" t="s">
        <v>39</v>
      </c>
      <c r="E1431" t="s">
        <v>2211</v>
      </c>
    </row>
    <row r="1432" spans="1:5" x14ac:dyDescent="0.4">
      <c r="A1432" t="s">
        <v>2930</v>
      </c>
      <c r="B1432" t="s">
        <v>2931</v>
      </c>
      <c r="C1432" t="s">
        <v>39</v>
      </c>
      <c r="E1432" t="s">
        <v>2211</v>
      </c>
    </row>
    <row r="1433" spans="1:5" x14ac:dyDescent="0.4">
      <c r="A1433" t="s">
        <v>2932</v>
      </c>
      <c r="B1433" t="s">
        <v>2933</v>
      </c>
      <c r="C1433" t="s">
        <v>39</v>
      </c>
      <c r="E1433" t="s">
        <v>2211</v>
      </c>
    </row>
    <row r="1434" spans="1:5" x14ac:dyDescent="0.4">
      <c r="A1434" t="s">
        <v>2934</v>
      </c>
      <c r="B1434" t="s">
        <v>2935</v>
      </c>
      <c r="C1434" t="s">
        <v>56</v>
      </c>
      <c r="E1434" t="s">
        <v>2211</v>
      </c>
    </row>
    <row r="1435" spans="1:5" x14ac:dyDescent="0.4">
      <c r="A1435" t="s">
        <v>2936</v>
      </c>
      <c r="B1435" t="s">
        <v>2937</v>
      </c>
      <c r="C1435" t="s">
        <v>56</v>
      </c>
      <c r="E1435" t="s">
        <v>2211</v>
      </c>
    </row>
    <row r="1436" spans="1:5" x14ac:dyDescent="0.4">
      <c r="A1436" t="s">
        <v>2938</v>
      </c>
      <c r="B1436" t="s">
        <v>2939</v>
      </c>
      <c r="C1436" t="s">
        <v>56</v>
      </c>
      <c r="E1436" t="s">
        <v>2211</v>
      </c>
    </row>
    <row r="1437" spans="1:5" x14ac:dyDescent="0.4">
      <c r="A1437" t="s">
        <v>2940</v>
      </c>
      <c r="B1437" t="s">
        <v>2941</v>
      </c>
      <c r="C1437" t="s">
        <v>6</v>
      </c>
      <c r="D1437" t="s">
        <v>10</v>
      </c>
      <c r="E1437" t="s">
        <v>2211</v>
      </c>
    </row>
    <row r="1438" spans="1:5" x14ac:dyDescent="0.4">
      <c r="A1438" t="s">
        <v>2942</v>
      </c>
      <c r="B1438" t="s">
        <v>2943</v>
      </c>
      <c r="C1438" t="s">
        <v>6</v>
      </c>
      <c r="D1438" t="s">
        <v>13</v>
      </c>
      <c r="E1438" t="s">
        <v>2211</v>
      </c>
    </row>
    <row r="1439" spans="1:5" x14ac:dyDescent="0.4">
      <c r="A1439" t="s">
        <v>2944</v>
      </c>
      <c r="B1439" t="s">
        <v>2945</v>
      </c>
      <c r="C1439" t="s">
        <v>6</v>
      </c>
      <c r="D1439" t="s">
        <v>7</v>
      </c>
      <c r="E1439" t="s">
        <v>2211</v>
      </c>
    </row>
    <row r="1440" spans="1:5" x14ac:dyDescent="0.4">
      <c r="A1440" t="s">
        <v>2946</v>
      </c>
      <c r="B1440" t="s">
        <v>2947</v>
      </c>
      <c r="C1440" t="s">
        <v>6</v>
      </c>
      <c r="D1440" t="s">
        <v>21</v>
      </c>
      <c r="E1440" t="s">
        <v>2211</v>
      </c>
    </row>
    <row r="1441" spans="1:5" x14ac:dyDescent="0.4">
      <c r="A1441" t="s">
        <v>2948</v>
      </c>
      <c r="B1441" t="s">
        <v>2949</v>
      </c>
      <c r="C1441" t="s">
        <v>6</v>
      </c>
      <c r="D1441" t="s">
        <v>16</v>
      </c>
      <c r="E1441" t="s">
        <v>2211</v>
      </c>
    </row>
    <row r="1442" spans="1:5" x14ac:dyDescent="0.4">
      <c r="A1442" t="s">
        <v>2950</v>
      </c>
      <c r="B1442" t="s">
        <v>2951</v>
      </c>
      <c r="C1442" t="s">
        <v>39</v>
      </c>
      <c r="E1442" t="s">
        <v>2211</v>
      </c>
    </row>
    <row r="1443" spans="1:5" x14ac:dyDescent="0.4">
      <c r="A1443" t="s">
        <v>2952</v>
      </c>
      <c r="B1443" t="s">
        <v>2953</v>
      </c>
      <c r="C1443" t="s">
        <v>39</v>
      </c>
      <c r="E1443" t="s">
        <v>2211</v>
      </c>
    </row>
    <row r="1444" spans="1:5" x14ac:dyDescent="0.4">
      <c r="A1444" t="s">
        <v>2954</v>
      </c>
      <c r="B1444" t="s">
        <v>2955</v>
      </c>
      <c r="C1444" t="s">
        <v>39</v>
      </c>
      <c r="E1444" t="s">
        <v>2211</v>
      </c>
    </row>
    <row r="1445" spans="1:5" x14ac:dyDescent="0.4">
      <c r="A1445" t="s">
        <v>2956</v>
      </c>
      <c r="B1445" t="s">
        <v>2957</v>
      </c>
      <c r="C1445" t="s">
        <v>39</v>
      </c>
      <c r="E1445" t="s">
        <v>2211</v>
      </c>
    </row>
    <row r="1446" spans="1:5" x14ac:dyDescent="0.4">
      <c r="A1446" t="s">
        <v>2958</v>
      </c>
      <c r="B1446" t="s">
        <v>2959</v>
      </c>
      <c r="C1446" t="s">
        <v>39</v>
      </c>
      <c r="E1446" t="s">
        <v>2211</v>
      </c>
    </row>
    <row r="1447" spans="1:5" x14ac:dyDescent="0.4">
      <c r="A1447" t="s">
        <v>2960</v>
      </c>
      <c r="B1447" t="s">
        <v>2961</v>
      </c>
      <c r="C1447" t="s">
        <v>56</v>
      </c>
      <c r="E1447" t="s">
        <v>2211</v>
      </c>
    </row>
    <row r="1448" spans="1:5" x14ac:dyDescent="0.4">
      <c r="A1448" t="s">
        <v>2962</v>
      </c>
      <c r="B1448" t="s">
        <v>2963</v>
      </c>
      <c r="C1448" t="s">
        <v>39</v>
      </c>
      <c r="E1448" t="s">
        <v>2211</v>
      </c>
    </row>
    <row r="1449" spans="1:5" x14ac:dyDescent="0.4">
      <c r="A1449" t="s">
        <v>2964</v>
      </c>
      <c r="B1449" t="s">
        <v>2965</v>
      </c>
      <c r="C1449" t="s">
        <v>39</v>
      </c>
      <c r="E1449" t="s">
        <v>2211</v>
      </c>
    </row>
    <row r="1450" spans="1:5" x14ac:dyDescent="0.4">
      <c r="A1450" t="s">
        <v>2966</v>
      </c>
      <c r="B1450" t="s">
        <v>2967</v>
      </c>
      <c r="C1450" t="s">
        <v>39</v>
      </c>
      <c r="E1450" t="s">
        <v>2211</v>
      </c>
    </row>
    <row r="1451" spans="1:5" x14ac:dyDescent="0.4">
      <c r="A1451" t="s">
        <v>2968</v>
      </c>
      <c r="B1451" t="s">
        <v>2969</v>
      </c>
      <c r="C1451" t="s">
        <v>39</v>
      </c>
      <c r="E1451" t="s">
        <v>2211</v>
      </c>
    </row>
    <row r="1452" spans="1:5" x14ac:dyDescent="0.4">
      <c r="A1452" t="s">
        <v>2970</v>
      </c>
      <c r="B1452" t="s">
        <v>2971</v>
      </c>
      <c r="C1452" t="s">
        <v>39</v>
      </c>
      <c r="E1452" t="s">
        <v>1434</v>
      </c>
    </row>
    <row r="1453" spans="1:5" x14ac:dyDescent="0.4">
      <c r="A1453" t="s">
        <v>2972</v>
      </c>
      <c r="B1453" t="s">
        <v>2973</v>
      </c>
      <c r="C1453" t="s">
        <v>39</v>
      </c>
      <c r="E1453" t="s">
        <v>1434</v>
      </c>
    </row>
    <row r="1454" spans="1:5" x14ac:dyDescent="0.4">
      <c r="A1454" t="s">
        <v>2974</v>
      </c>
      <c r="B1454" t="s">
        <v>2975</v>
      </c>
      <c r="C1454" t="s">
        <v>56</v>
      </c>
      <c r="E1454" t="s">
        <v>1434</v>
      </c>
    </row>
    <row r="1455" spans="1:5" x14ac:dyDescent="0.4">
      <c r="A1455" t="s">
        <v>2976</v>
      </c>
      <c r="B1455" t="s">
        <v>2977</v>
      </c>
      <c r="C1455" t="s">
        <v>6</v>
      </c>
      <c r="D1455" t="s">
        <v>16</v>
      </c>
      <c r="E1455" t="s">
        <v>1434</v>
      </c>
    </row>
    <row r="1456" spans="1:5" x14ac:dyDescent="0.4">
      <c r="A1456" t="s">
        <v>2978</v>
      </c>
      <c r="B1456" t="s">
        <v>2979</v>
      </c>
      <c r="C1456" t="s">
        <v>56</v>
      </c>
      <c r="E1456" t="s">
        <v>1434</v>
      </c>
    </row>
    <row r="1457" spans="1:5" x14ac:dyDescent="0.4">
      <c r="A1457" t="s">
        <v>2980</v>
      </c>
      <c r="B1457" t="s">
        <v>2981</v>
      </c>
      <c r="C1457" t="s">
        <v>6</v>
      </c>
      <c r="D1457" t="s">
        <v>7</v>
      </c>
      <c r="E1457" t="s">
        <v>1434</v>
      </c>
    </row>
    <row r="1458" spans="1:5" x14ac:dyDescent="0.4">
      <c r="A1458" t="s">
        <v>2982</v>
      </c>
      <c r="B1458" t="s">
        <v>2983</v>
      </c>
      <c r="C1458" t="s">
        <v>6</v>
      </c>
      <c r="D1458" t="s">
        <v>24</v>
      </c>
      <c r="E1458" t="s">
        <v>1434</v>
      </c>
    </row>
    <row r="1459" spans="1:5" x14ac:dyDescent="0.4">
      <c r="A1459" t="s">
        <v>2984</v>
      </c>
      <c r="B1459" t="s">
        <v>2985</v>
      </c>
      <c r="C1459" t="s">
        <v>56</v>
      </c>
      <c r="E1459" t="s">
        <v>1434</v>
      </c>
    </row>
    <row r="1460" spans="1:5" x14ac:dyDescent="0.4">
      <c r="A1460" t="s">
        <v>2986</v>
      </c>
      <c r="B1460" t="s">
        <v>2987</v>
      </c>
      <c r="C1460" t="s">
        <v>39</v>
      </c>
      <c r="E1460" t="s">
        <v>1434</v>
      </c>
    </row>
    <row r="1461" spans="1:5" x14ac:dyDescent="0.4">
      <c r="A1461" t="s">
        <v>2988</v>
      </c>
      <c r="B1461" t="s">
        <v>2989</v>
      </c>
      <c r="C1461" t="s">
        <v>6</v>
      </c>
      <c r="D1461" t="s">
        <v>16</v>
      </c>
      <c r="E1461" t="s">
        <v>1434</v>
      </c>
    </row>
    <row r="1462" spans="1:5" x14ac:dyDescent="0.4">
      <c r="A1462" t="s">
        <v>2990</v>
      </c>
      <c r="B1462" t="s">
        <v>2991</v>
      </c>
      <c r="C1462" t="s">
        <v>6</v>
      </c>
      <c r="D1462" t="s">
        <v>16</v>
      </c>
      <c r="E1462" t="s">
        <v>1434</v>
      </c>
    </row>
    <row r="1463" spans="1:5" x14ac:dyDescent="0.4">
      <c r="A1463" t="s">
        <v>2992</v>
      </c>
      <c r="B1463" t="s">
        <v>2993</v>
      </c>
      <c r="C1463" t="s">
        <v>39</v>
      </c>
      <c r="E1463" t="s">
        <v>1434</v>
      </c>
    </row>
    <row r="1464" spans="1:5" x14ac:dyDescent="0.4">
      <c r="A1464" t="s">
        <v>2994</v>
      </c>
      <c r="B1464" t="s">
        <v>2995</v>
      </c>
      <c r="C1464" t="s">
        <v>6</v>
      </c>
      <c r="D1464" t="s">
        <v>33</v>
      </c>
      <c r="E1464" t="s">
        <v>1434</v>
      </c>
    </row>
    <row r="1465" spans="1:5" x14ac:dyDescent="0.4">
      <c r="A1465" t="s">
        <v>2996</v>
      </c>
      <c r="B1465" t="s">
        <v>2997</v>
      </c>
      <c r="C1465" t="s">
        <v>56</v>
      </c>
      <c r="E1465" t="s">
        <v>1434</v>
      </c>
    </row>
    <row r="1466" spans="1:5" x14ac:dyDescent="0.4">
      <c r="A1466" t="s">
        <v>2998</v>
      </c>
      <c r="B1466" t="s">
        <v>2999</v>
      </c>
      <c r="C1466" t="s">
        <v>6</v>
      </c>
      <c r="D1466" t="s">
        <v>30</v>
      </c>
      <c r="E1466" t="s">
        <v>1434</v>
      </c>
    </row>
    <row r="1467" spans="1:5" x14ac:dyDescent="0.4">
      <c r="A1467" t="s">
        <v>3000</v>
      </c>
      <c r="B1467" t="s">
        <v>3001</v>
      </c>
      <c r="C1467" t="s">
        <v>6</v>
      </c>
      <c r="D1467" t="s">
        <v>27</v>
      </c>
      <c r="E1467" t="s">
        <v>1434</v>
      </c>
    </row>
    <row r="1468" spans="1:5" x14ac:dyDescent="0.4">
      <c r="A1468" t="s">
        <v>3002</v>
      </c>
      <c r="B1468" t="s">
        <v>3003</v>
      </c>
      <c r="C1468" t="s">
        <v>39</v>
      </c>
      <c r="E1468" t="s">
        <v>1434</v>
      </c>
    </row>
    <row r="1469" spans="1:5" x14ac:dyDescent="0.4">
      <c r="A1469" t="s">
        <v>3004</v>
      </c>
      <c r="B1469" t="s">
        <v>3005</v>
      </c>
      <c r="C1469" t="s">
        <v>6</v>
      </c>
      <c r="D1469" t="s">
        <v>7</v>
      </c>
      <c r="E1469" t="s">
        <v>1434</v>
      </c>
    </row>
    <row r="1470" spans="1:5" x14ac:dyDescent="0.4">
      <c r="A1470" t="s">
        <v>3006</v>
      </c>
      <c r="B1470" t="s">
        <v>3007</v>
      </c>
      <c r="C1470" t="s">
        <v>56</v>
      </c>
      <c r="E1470" t="s">
        <v>1434</v>
      </c>
    </row>
    <row r="1471" spans="1:5" x14ac:dyDescent="0.4">
      <c r="A1471" t="s">
        <v>3008</v>
      </c>
      <c r="B1471" t="s">
        <v>3009</v>
      </c>
      <c r="C1471" t="s">
        <v>6</v>
      </c>
      <c r="D1471" t="s">
        <v>10</v>
      </c>
      <c r="E1471" t="s">
        <v>1434</v>
      </c>
    </row>
    <row r="1472" spans="1:5" x14ac:dyDescent="0.4">
      <c r="A1472" t="s">
        <v>3010</v>
      </c>
      <c r="B1472" t="s">
        <v>3011</v>
      </c>
      <c r="C1472" t="s">
        <v>39</v>
      </c>
      <c r="E1472" t="s">
        <v>1434</v>
      </c>
    </row>
    <row r="1473" spans="1:5" x14ac:dyDescent="0.4">
      <c r="A1473" t="s">
        <v>3012</v>
      </c>
      <c r="B1473" t="s">
        <v>3013</v>
      </c>
      <c r="C1473" t="s">
        <v>39</v>
      </c>
      <c r="E1473" t="s">
        <v>1434</v>
      </c>
    </row>
    <row r="1474" spans="1:5" x14ac:dyDescent="0.4">
      <c r="A1474" t="s">
        <v>3014</v>
      </c>
      <c r="B1474" t="s">
        <v>3015</v>
      </c>
      <c r="C1474" t="s">
        <v>56</v>
      </c>
      <c r="E1474" t="s">
        <v>1434</v>
      </c>
    </row>
    <row r="1475" spans="1:5" x14ac:dyDescent="0.4">
      <c r="A1475" t="s">
        <v>3016</v>
      </c>
      <c r="B1475" t="s">
        <v>3017</v>
      </c>
      <c r="C1475" t="s">
        <v>6</v>
      </c>
      <c r="D1475" t="s">
        <v>7</v>
      </c>
      <c r="E1475" t="s">
        <v>1434</v>
      </c>
    </row>
    <row r="1476" spans="1:5" x14ac:dyDescent="0.4">
      <c r="A1476" t="s">
        <v>3018</v>
      </c>
      <c r="B1476" t="s">
        <v>3019</v>
      </c>
      <c r="C1476" t="s">
        <v>56</v>
      </c>
      <c r="E1476" t="s">
        <v>1434</v>
      </c>
    </row>
    <row r="1477" spans="1:5" x14ac:dyDescent="0.4">
      <c r="A1477" t="s">
        <v>3020</v>
      </c>
      <c r="B1477" t="s">
        <v>3021</v>
      </c>
      <c r="C1477" t="s">
        <v>6</v>
      </c>
      <c r="D1477" t="s">
        <v>27</v>
      </c>
      <c r="E1477" t="s">
        <v>1434</v>
      </c>
    </row>
    <row r="1478" spans="1:5" x14ac:dyDescent="0.4">
      <c r="A1478" t="s">
        <v>3022</v>
      </c>
      <c r="B1478" t="s">
        <v>3023</v>
      </c>
      <c r="C1478" t="s">
        <v>6</v>
      </c>
      <c r="D1478" t="s">
        <v>13</v>
      </c>
      <c r="E1478" t="s">
        <v>1434</v>
      </c>
    </row>
    <row r="1479" spans="1:5" x14ac:dyDescent="0.4">
      <c r="A1479" t="s">
        <v>3024</v>
      </c>
      <c r="B1479" t="s">
        <v>3025</v>
      </c>
      <c r="C1479" t="s">
        <v>39</v>
      </c>
      <c r="E1479" t="s">
        <v>1434</v>
      </c>
    </row>
    <row r="1480" spans="1:5" x14ac:dyDescent="0.4">
      <c r="A1480" t="s">
        <v>3026</v>
      </c>
      <c r="B1480" t="s">
        <v>3027</v>
      </c>
      <c r="C1480" t="s">
        <v>39</v>
      </c>
      <c r="E1480" t="s">
        <v>1434</v>
      </c>
    </row>
    <row r="1481" spans="1:5" x14ac:dyDescent="0.4">
      <c r="A1481" t="s">
        <v>3028</v>
      </c>
      <c r="B1481" t="s">
        <v>3029</v>
      </c>
      <c r="C1481" t="s">
        <v>6</v>
      </c>
      <c r="D1481" t="s">
        <v>30</v>
      </c>
      <c r="E1481" t="s">
        <v>1434</v>
      </c>
    </row>
    <row r="1482" spans="1:5" x14ac:dyDescent="0.4">
      <c r="A1482" t="s">
        <v>3030</v>
      </c>
      <c r="B1482" t="s">
        <v>3031</v>
      </c>
      <c r="C1482" t="s">
        <v>56</v>
      </c>
      <c r="E1482" t="s">
        <v>1434</v>
      </c>
    </row>
    <row r="1483" spans="1:5" x14ac:dyDescent="0.4">
      <c r="A1483" t="s">
        <v>3032</v>
      </c>
      <c r="B1483" t="s">
        <v>3033</v>
      </c>
      <c r="C1483" t="s">
        <v>6</v>
      </c>
      <c r="D1483" t="s">
        <v>21</v>
      </c>
      <c r="E1483" t="s">
        <v>1434</v>
      </c>
    </row>
    <row r="1484" spans="1:5" x14ac:dyDescent="0.4">
      <c r="A1484" t="s">
        <v>3034</v>
      </c>
      <c r="B1484" t="s">
        <v>3035</v>
      </c>
      <c r="C1484" t="s">
        <v>39</v>
      </c>
      <c r="E1484" t="s">
        <v>1434</v>
      </c>
    </row>
    <row r="1485" spans="1:5" x14ac:dyDescent="0.4">
      <c r="A1485" t="s">
        <v>3036</v>
      </c>
      <c r="B1485" t="s">
        <v>3037</v>
      </c>
      <c r="C1485" t="s">
        <v>56</v>
      </c>
      <c r="E1485" t="s">
        <v>1434</v>
      </c>
    </row>
    <row r="1486" spans="1:5" x14ac:dyDescent="0.4">
      <c r="A1486" t="s">
        <v>3038</v>
      </c>
      <c r="B1486" t="s">
        <v>3039</v>
      </c>
      <c r="C1486" t="s">
        <v>6</v>
      </c>
      <c r="D1486" t="s">
        <v>24</v>
      </c>
      <c r="E1486" t="s">
        <v>1434</v>
      </c>
    </row>
    <row r="1487" spans="1:5" x14ac:dyDescent="0.4">
      <c r="A1487" t="s">
        <v>3040</v>
      </c>
      <c r="B1487" t="s">
        <v>3041</v>
      </c>
      <c r="C1487" t="s">
        <v>6</v>
      </c>
      <c r="D1487" t="s">
        <v>33</v>
      </c>
      <c r="E1487" t="s">
        <v>1434</v>
      </c>
    </row>
    <row r="1488" spans="1:5" x14ac:dyDescent="0.4">
      <c r="A1488" t="s">
        <v>3042</v>
      </c>
      <c r="B1488" t="s">
        <v>3043</v>
      </c>
      <c r="C1488" t="s">
        <v>56</v>
      </c>
      <c r="E1488" t="s">
        <v>1434</v>
      </c>
    </row>
    <row r="1489" spans="1:5" x14ac:dyDescent="0.4">
      <c r="A1489" t="s">
        <v>3044</v>
      </c>
      <c r="B1489" t="s">
        <v>3045</v>
      </c>
      <c r="C1489" t="s">
        <v>6</v>
      </c>
      <c r="D1489" t="s">
        <v>16</v>
      </c>
      <c r="E1489" t="s">
        <v>1434</v>
      </c>
    </row>
    <row r="1490" spans="1:5" x14ac:dyDescent="0.4">
      <c r="A1490" t="s">
        <v>3046</v>
      </c>
      <c r="B1490" t="s">
        <v>3047</v>
      </c>
      <c r="C1490" t="s">
        <v>39</v>
      </c>
      <c r="E1490" t="s">
        <v>1434</v>
      </c>
    </row>
    <row r="1491" spans="1:5" x14ac:dyDescent="0.4">
      <c r="A1491" t="s">
        <v>3048</v>
      </c>
      <c r="B1491" t="s">
        <v>3049</v>
      </c>
      <c r="C1491" t="s">
        <v>6</v>
      </c>
      <c r="D1491" t="s">
        <v>30</v>
      </c>
      <c r="E1491" t="s">
        <v>1434</v>
      </c>
    </row>
    <row r="1492" spans="1:5" x14ac:dyDescent="0.4">
      <c r="A1492" t="s">
        <v>3050</v>
      </c>
      <c r="B1492" t="s">
        <v>3051</v>
      </c>
      <c r="C1492" t="s">
        <v>6</v>
      </c>
      <c r="D1492" t="s">
        <v>7</v>
      </c>
      <c r="E1492" t="s">
        <v>1434</v>
      </c>
    </row>
    <row r="1493" spans="1:5" x14ac:dyDescent="0.4">
      <c r="A1493" t="s">
        <v>3052</v>
      </c>
      <c r="B1493" t="s">
        <v>3053</v>
      </c>
      <c r="C1493" t="s">
        <v>6</v>
      </c>
      <c r="D1493" t="s">
        <v>30</v>
      </c>
      <c r="E1493" t="s">
        <v>1434</v>
      </c>
    </row>
    <row r="1494" spans="1:5" x14ac:dyDescent="0.4">
      <c r="A1494" t="s">
        <v>3054</v>
      </c>
      <c r="B1494" t="s">
        <v>3055</v>
      </c>
      <c r="C1494" t="s">
        <v>6</v>
      </c>
      <c r="D1494" t="s">
        <v>33</v>
      </c>
      <c r="E1494" t="s">
        <v>1434</v>
      </c>
    </row>
    <row r="1495" spans="1:5" x14ac:dyDescent="0.4">
      <c r="A1495" t="s">
        <v>3056</v>
      </c>
      <c r="B1495" t="s">
        <v>3057</v>
      </c>
      <c r="C1495" t="s">
        <v>6</v>
      </c>
      <c r="D1495" t="s">
        <v>21</v>
      </c>
      <c r="E1495" t="s">
        <v>1434</v>
      </c>
    </row>
    <row r="1496" spans="1:5" x14ac:dyDescent="0.4">
      <c r="A1496" t="s">
        <v>3058</v>
      </c>
      <c r="B1496" t="s">
        <v>3059</v>
      </c>
      <c r="C1496" t="s">
        <v>39</v>
      </c>
      <c r="E1496" t="s">
        <v>1434</v>
      </c>
    </row>
    <row r="1497" spans="1:5" x14ac:dyDescent="0.4">
      <c r="A1497" t="s">
        <v>3060</v>
      </c>
      <c r="B1497" t="s">
        <v>3061</v>
      </c>
      <c r="C1497" t="s">
        <v>39</v>
      </c>
      <c r="E1497" t="s">
        <v>1434</v>
      </c>
    </row>
    <row r="1498" spans="1:5" x14ac:dyDescent="0.4">
      <c r="A1498" t="s">
        <v>3062</v>
      </c>
      <c r="B1498" t="s">
        <v>3063</v>
      </c>
      <c r="C1498" t="s">
        <v>39</v>
      </c>
      <c r="E1498" t="s">
        <v>1434</v>
      </c>
    </row>
    <row r="1499" spans="1:5" x14ac:dyDescent="0.4">
      <c r="A1499" t="s">
        <v>3064</v>
      </c>
      <c r="B1499" t="s">
        <v>3065</v>
      </c>
      <c r="C1499" t="s">
        <v>6</v>
      </c>
      <c r="D1499" t="s">
        <v>24</v>
      </c>
      <c r="E1499" t="s">
        <v>1434</v>
      </c>
    </row>
    <row r="1500" spans="1:5" x14ac:dyDescent="0.4">
      <c r="A1500" t="s">
        <v>3066</v>
      </c>
      <c r="B1500" t="s">
        <v>3067</v>
      </c>
      <c r="C1500" t="s">
        <v>56</v>
      </c>
      <c r="E1500" t="s">
        <v>1434</v>
      </c>
    </row>
    <row r="1501" spans="1:5" x14ac:dyDescent="0.4">
      <c r="A1501" t="s">
        <v>3068</v>
      </c>
      <c r="B1501" t="s">
        <v>3069</v>
      </c>
      <c r="C1501" t="s">
        <v>56</v>
      </c>
      <c r="E1501" t="s">
        <v>1434</v>
      </c>
    </row>
    <row r="1502" spans="1:5" x14ac:dyDescent="0.4">
      <c r="A1502" t="s">
        <v>3070</v>
      </c>
      <c r="B1502" t="s">
        <v>3071</v>
      </c>
      <c r="C1502" t="s">
        <v>39</v>
      </c>
      <c r="E1502" t="s">
        <v>1434</v>
      </c>
    </row>
    <row r="1503" spans="1:5" x14ac:dyDescent="0.4">
      <c r="A1503" t="s">
        <v>3072</v>
      </c>
      <c r="B1503" t="s">
        <v>3073</v>
      </c>
      <c r="C1503" t="s">
        <v>39</v>
      </c>
      <c r="E1503" t="s">
        <v>1434</v>
      </c>
    </row>
    <row r="1504" spans="1:5" x14ac:dyDescent="0.4">
      <c r="A1504" t="s">
        <v>3074</v>
      </c>
      <c r="B1504" t="s">
        <v>3075</v>
      </c>
      <c r="C1504" t="s">
        <v>6</v>
      </c>
      <c r="D1504" t="s">
        <v>16</v>
      </c>
      <c r="E1504" t="s">
        <v>1434</v>
      </c>
    </row>
    <row r="1505" spans="1:5" x14ac:dyDescent="0.4">
      <c r="A1505" t="s">
        <v>3076</v>
      </c>
      <c r="B1505" t="s">
        <v>3077</v>
      </c>
      <c r="C1505" t="s">
        <v>6</v>
      </c>
      <c r="D1505" t="s">
        <v>7</v>
      </c>
      <c r="E1505" t="s">
        <v>1434</v>
      </c>
    </row>
    <row r="1506" spans="1:5" x14ac:dyDescent="0.4">
      <c r="A1506" t="s">
        <v>3078</v>
      </c>
      <c r="B1506" t="s">
        <v>3079</v>
      </c>
      <c r="C1506" t="s">
        <v>6</v>
      </c>
      <c r="D1506" t="s">
        <v>27</v>
      </c>
      <c r="E1506" t="s">
        <v>1434</v>
      </c>
    </row>
    <row r="1507" spans="1:5" x14ac:dyDescent="0.4">
      <c r="A1507" t="s">
        <v>3080</v>
      </c>
      <c r="B1507" t="s">
        <v>3081</v>
      </c>
      <c r="C1507" t="s">
        <v>6</v>
      </c>
      <c r="D1507" t="s">
        <v>13</v>
      </c>
      <c r="E1507" t="s">
        <v>1434</v>
      </c>
    </row>
    <row r="1508" spans="1:5" x14ac:dyDescent="0.4">
      <c r="A1508" t="s">
        <v>3082</v>
      </c>
      <c r="B1508" t="s">
        <v>3083</v>
      </c>
      <c r="C1508" t="s">
        <v>39</v>
      </c>
      <c r="E1508" t="s">
        <v>1434</v>
      </c>
    </row>
    <row r="1509" spans="1:5" x14ac:dyDescent="0.4">
      <c r="A1509" t="s">
        <v>3084</v>
      </c>
      <c r="B1509" t="s">
        <v>3085</v>
      </c>
      <c r="C1509" t="s">
        <v>56</v>
      </c>
      <c r="E1509" t="s">
        <v>1434</v>
      </c>
    </row>
    <row r="1510" spans="1:5" x14ac:dyDescent="0.4">
      <c r="A1510" t="s">
        <v>3086</v>
      </c>
      <c r="B1510" t="s">
        <v>3087</v>
      </c>
      <c r="C1510" t="s">
        <v>39</v>
      </c>
      <c r="E1510" t="s">
        <v>1434</v>
      </c>
    </row>
    <row r="1511" spans="1:5" x14ac:dyDescent="0.4">
      <c r="A1511" t="s">
        <v>3088</v>
      </c>
      <c r="B1511" t="s">
        <v>3089</v>
      </c>
      <c r="C1511" t="s">
        <v>6</v>
      </c>
      <c r="D1511" t="s">
        <v>33</v>
      </c>
      <c r="E1511" t="s">
        <v>1434</v>
      </c>
    </row>
    <row r="1512" spans="1:5" x14ac:dyDescent="0.4">
      <c r="A1512" t="s">
        <v>3090</v>
      </c>
      <c r="B1512" t="s">
        <v>3091</v>
      </c>
      <c r="C1512" t="s">
        <v>6</v>
      </c>
      <c r="D1512" t="s">
        <v>33</v>
      </c>
      <c r="E1512" t="s">
        <v>1434</v>
      </c>
    </row>
    <row r="1513" spans="1:5" x14ac:dyDescent="0.4">
      <c r="A1513" t="s">
        <v>3092</v>
      </c>
      <c r="B1513" t="s">
        <v>3093</v>
      </c>
      <c r="C1513" t="s">
        <v>6</v>
      </c>
      <c r="D1513" t="s">
        <v>30</v>
      </c>
      <c r="E1513" t="s">
        <v>1434</v>
      </c>
    </row>
    <row r="1514" spans="1:5" x14ac:dyDescent="0.4">
      <c r="A1514" t="s">
        <v>3094</v>
      </c>
      <c r="B1514" t="s">
        <v>3095</v>
      </c>
      <c r="C1514" t="s">
        <v>6</v>
      </c>
      <c r="D1514" t="s">
        <v>16</v>
      </c>
      <c r="E1514" t="s">
        <v>1434</v>
      </c>
    </row>
    <row r="1515" spans="1:5" x14ac:dyDescent="0.4">
      <c r="A1515" t="s">
        <v>3096</v>
      </c>
      <c r="B1515" t="s">
        <v>3097</v>
      </c>
      <c r="C1515" t="s">
        <v>6</v>
      </c>
      <c r="D1515" t="s">
        <v>7</v>
      </c>
      <c r="E1515" t="s">
        <v>1434</v>
      </c>
    </row>
    <row r="1516" spans="1:5" x14ac:dyDescent="0.4">
      <c r="A1516" t="s">
        <v>3098</v>
      </c>
      <c r="B1516" t="s">
        <v>3099</v>
      </c>
      <c r="C1516" t="s">
        <v>6</v>
      </c>
      <c r="D1516" t="s">
        <v>24</v>
      </c>
      <c r="E1516" t="s">
        <v>1434</v>
      </c>
    </row>
    <row r="1517" spans="1:5" x14ac:dyDescent="0.4">
      <c r="A1517" t="s">
        <v>3100</v>
      </c>
      <c r="B1517" t="s">
        <v>3101</v>
      </c>
      <c r="C1517" t="s">
        <v>39</v>
      </c>
      <c r="E1517" t="s">
        <v>1434</v>
      </c>
    </row>
    <row r="1518" spans="1:5" x14ac:dyDescent="0.4">
      <c r="A1518" t="s">
        <v>3102</v>
      </c>
      <c r="B1518" t="s">
        <v>3103</v>
      </c>
      <c r="C1518" t="s">
        <v>39</v>
      </c>
      <c r="E1518" t="s">
        <v>1434</v>
      </c>
    </row>
    <row r="1519" spans="1:5" x14ac:dyDescent="0.4">
      <c r="A1519" t="s">
        <v>3104</v>
      </c>
      <c r="B1519" t="s">
        <v>3105</v>
      </c>
      <c r="C1519" t="s">
        <v>39</v>
      </c>
      <c r="E1519" t="s">
        <v>1434</v>
      </c>
    </row>
    <row r="1520" spans="1:5" x14ac:dyDescent="0.4">
      <c r="A1520" t="s">
        <v>3106</v>
      </c>
      <c r="B1520" t="s">
        <v>3107</v>
      </c>
      <c r="C1520" t="s">
        <v>6</v>
      </c>
      <c r="D1520" t="s">
        <v>10</v>
      </c>
      <c r="E1520" t="s">
        <v>1434</v>
      </c>
    </row>
    <row r="1521" spans="1:5" x14ac:dyDescent="0.4">
      <c r="A1521" t="s">
        <v>3108</v>
      </c>
      <c r="B1521" t="s">
        <v>3109</v>
      </c>
      <c r="C1521" t="s">
        <v>56</v>
      </c>
      <c r="E1521" t="s">
        <v>1434</v>
      </c>
    </row>
    <row r="1522" spans="1:5" x14ac:dyDescent="0.4">
      <c r="A1522" t="s">
        <v>3110</v>
      </c>
      <c r="B1522" t="s">
        <v>3111</v>
      </c>
      <c r="C1522" t="s">
        <v>56</v>
      </c>
      <c r="E1522" t="s">
        <v>1434</v>
      </c>
    </row>
    <row r="1523" spans="1:5" x14ac:dyDescent="0.4">
      <c r="A1523" t="s">
        <v>3112</v>
      </c>
      <c r="B1523" t="s">
        <v>3113</v>
      </c>
      <c r="C1523" t="s">
        <v>39</v>
      </c>
      <c r="E1523" t="s">
        <v>1434</v>
      </c>
    </row>
    <row r="1524" spans="1:5" x14ac:dyDescent="0.4">
      <c r="A1524" t="s">
        <v>3114</v>
      </c>
      <c r="B1524" t="s">
        <v>3115</v>
      </c>
      <c r="C1524" t="s">
        <v>39</v>
      </c>
      <c r="E1524" t="s">
        <v>1434</v>
      </c>
    </row>
    <row r="1525" spans="1:5" x14ac:dyDescent="0.4">
      <c r="A1525" t="s">
        <v>3116</v>
      </c>
      <c r="B1525" t="s">
        <v>3117</v>
      </c>
      <c r="C1525" t="s">
        <v>56</v>
      </c>
      <c r="E1525" t="s">
        <v>1434</v>
      </c>
    </row>
    <row r="1526" spans="1:5" x14ac:dyDescent="0.4">
      <c r="A1526" t="s">
        <v>3118</v>
      </c>
      <c r="B1526" t="s">
        <v>3119</v>
      </c>
      <c r="C1526" t="s">
        <v>6</v>
      </c>
      <c r="D1526" t="s">
        <v>27</v>
      </c>
      <c r="E1526" t="s">
        <v>1434</v>
      </c>
    </row>
    <row r="1527" spans="1:5" x14ac:dyDescent="0.4">
      <c r="A1527" t="s">
        <v>3120</v>
      </c>
      <c r="B1527" t="s">
        <v>3121</v>
      </c>
      <c r="C1527" t="s">
        <v>6</v>
      </c>
      <c r="D1527" t="s">
        <v>33</v>
      </c>
      <c r="E1527" t="s">
        <v>1434</v>
      </c>
    </row>
    <row r="1528" spans="1:5" x14ac:dyDescent="0.4">
      <c r="A1528" t="s">
        <v>3122</v>
      </c>
      <c r="B1528" t="s">
        <v>3123</v>
      </c>
      <c r="C1528" t="s">
        <v>39</v>
      </c>
      <c r="E1528" t="s">
        <v>1434</v>
      </c>
    </row>
    <row r="1529" spans="1:5" x14ac:dyDescent="0.4">
      <c r="A1529" t="s">
        <v>3124</v>
      </c>
      <c r="B1529" t="s">
        <v>3125</v>
      </c>
      <c r="C1529" t="s">
        <v>56</v>
      </c>
      <c r="E1529" t="s">
        <v>1434</v>
      </c>
    </row>
    <row r="1530" spans="1:5" x14ac:dyDescent="0.4">
      <c r="A1530" t="s">
        <v>3126</v>
      </c>
      <c r="B1530" t="s">
        <v>3127</v>
      </c>
      <c r="C1530" t="s">
        <v>6</v>
      </c>
      <c r="D1530" t="s">
        <v>30</v>
      </c>
      <c r="E1530" t="s">
        <v>1434</v>
      </c>
    </row>
    <row r="1531" spans="1:5" x14ac:dyDescent="0.4">
      <c r="A1531" t="s">
        <v>3128</v>
      </c>
      <c r="B1531" t="s">
        <v>3129</v>
      </c>
      <c r="C1531" t="s">
        <v>39</v>
      </c>
      <c r="E1531" t="s">
        <v>1434</v>
      </c>
    </row>
    <row r="1532" spans="1:5" x14ac:dyDescent="0.4">
      <c r="A1532" t="s">
        <v>3130</v>
      </c>
      <c r="B1532" t="s">
        <v>3131</v>
      </c>
      <c r="C1532" t="s">
        <v>39</v>
      </c>
      <c r="E1532" t="s">
        <v>1434</v>
      </c>
    </row>
    <row r="1533" spans="1:5" x14ac:dyDescent="0.4">
      <c r="A1533" t="s">
        <v>3132</v>
      </c>
      <c r="B1533" t="s">
        <v>3133</v>
      </c>
      <c r="C1533" t="s">
        <v>39</v>
      </c>
      <c r="E1533" t="s">
        <v>1434</v>
      </c>
    </row>
    <row r="1534" spans="1:5" x14ac:dyDescent="0.4">
      <c r="A1534" t="s">
        <v>3134</v>
      </c>
      <c r="B1534" t="s">
        <v>3135</v>
      </c>
      <c r="C1534" t="s">
        <v>56</v>
      </c>
      <c r="E1534" t="s">
        <v>1434</v>
      </c>
    </row>
    <row r="1535" spans="1:5" x14ac:dyDescent="0.4">
      <c r="A1535" t="s">
        <v>3136</v>
      </c>
      <c r="B1535" t="s">
        <v>3137</v>
      </c>
      <c r="C1535" t="s">
        <v>6</v>
      </c>
      <c r="D1535" t="s">
        <v>16</v>
      </c>
      <c r="E1535" t="s">
        <v>1434</v>
      </c>
    </row>
    <row r="1536" spans="1:5" x14ac:dyDescent="0.4">
      <c r="A1536" t="s">
        <v>3138</v>
      </c>
      <c r="B1536" t="s">
        <v>3139</v>
      </c>
      <c r="C1536" t="s">
        <v>6</v>
      </c>
      <c r="D1536" t="s">
        <v>33</v>
      </c>
      <c r="E1536" t="s">
        <v>1434</v>
      </c>
    </row>
    <row r="1537" spans="1:5" x14ac:dyDescent="0.4">
      <c r="A1537" t="s">
        <v>3140</v>
      </c>
      <c r="B1537" t="s">
        <v>3141</v>
      </c>
      <c r="C1537" t="s">
        <v>6</v>
      </c>
      <c r="D1537" t="s">
        <v>30</v>
      </c>
      <c r="E1537" t="s">
        <v>1434</v>
      </c>
    </row>
    <row r="1538" spans="1:5" x14ac:dyDescent="0.4">
      <c r="A1538" t="s">
        <v>3142</v>
      </c>
      <c r="B1538" t="s">
        <v>3143</v>
      </c>
      <c r="C1538" t="s">
        <v>6</v>
      </c>
      <c r="D1538" t="s">
        <v>10</v>
      </c>
      <c r="E1538" t="s">
        <v>1434</v>
      </c>
    </row>
    <row r="1539" spans="1:5" x14ac:dyDescent="0.4">
      <c r="A1539" t="s">
        <v>3144</v>
      </c>
      <c r="B1539" t="s">
        <v>3145</v>
      </c>
      <c r="C1539" t="s">
        <v>6</v>
      </c>
      <c r="D1539" t="s">
        <v>27</v>
      </c>
      <c r="E1539" t="s">
        <v>1434</v>
      </c>
    </row>
    <row r="1540" spans="1:5" x14ac:dyDescent="0.4">
      <c r="A1540" t="s">
        <v>3146</v>
      </c>
      <c r="B1540" t="s">
        <v>3147</v>
      </c>
      <c r="C1540" t="s">
        <v>39</v>
      </c>
      <c r="E1540" t="s">
        <v>1434</v>
      </c>
    </row>
    <row r="1541" spans="1:5" x14ac:dyDescent="0.4">
      <c r="A1541" t="s">
        <v>3148</v>
      </c>
      <c r="B1541" t="s">
        <v>3149</v>
      </c>
      <c r="C1541" t="s">
        <v>39</v>
      </c>
      <c r="E1541" t="s">
        <v>1434</v>
      </c>
    </row>
    <row r="1542" spans="1:5" x14ac:dyDescent="0.4">
      <c r="A1542" t="s">
        <v>3150</v>
      </c>
      <c r="B1542" t="s">
        <v>3151</v>
      </c>
      <c r="C1542" t="s">
        <v>56</v>
      </c>
      <c r="E1542" t="s">
        <v>1434</v>
      </c>
    </row>
    <row r="1543" spans="1:5" x14ac:dyDescent="0.4">
      <c r="A1543" t="s">
        <v>3152</v>
      </c>
      <c r="B1543" t="s">
        <v>3153</v>
      </c>
      <c r="C1543" t="s">
        <v>6</v>
      </c>
      <c r="D1543" t="s">
        <v>7</v>
      </c>
      <c r="E1543" t="s">
        <v>1434</v>
      </c>
    </row>
    <row r="1544" spans="1:5" x14ac:dyDescent="0.4">
      <c r="A1544" t="s">
        <v>3154</v>
      </c>
      <c r="B1544" t="s">
        <v>3155</v>
      </c>
      <c r="C1544" t="s">
        <v>6</v>
      </c>
      <c r="D1544" t="s">
        <v>16</v>
      </c>
      <c r="E1544" t="s">
        <v>1434</v>
      </c>
    </row>
    <row r="1545" spans="1:5" x14ac:dyDescent="0.4">
      <c r="A1545" t="s">
        <v>3156</v>
      </c>
      <c r="B1545" t="s">
        <v>3157</v>
      </c>
      <c r="C1545" t="s">
        <v>6</v>
      </c>
      <c r="D1545" t="s">
        <v>24</v>
      </c>
      <c r="E1545" t="s">
        <v>1434</v>
      </c>
    </row>
    <row r="1546" spans="1:5" x14ac:dyDescent="0.4">
      <c r="A1546" t="s">
        <v>3158</v>
      </c>
      <c r="B1546" t="s">
        <v>3159</v>
      </c>
      <c r="C1546" t="s">
        <v>39</v>
      </c>
      <c r="E1546" t="s">
        <v>1434</v>
      </c>
    </row>
    <row r="1547" spans="1:5" x14ac:dyDescent="0.4">
      <c r="A1547" t="s">
        <v>3160</v>
      </c>
      <c r="B1547" t="s">
        <v>3161</v>
      </c>
      <c r="C1547" t="s">
        <v>56</v>
      </c>
      <c r="E1547" t="s">
        <v>1434</v>
      </c>
    </row>
    <row r="1548" spans="1:5" x14ac:dyDescent="0.4">
      <c r="A1548" t="s">
        <v>3162</v>
      </c>
      <c r="B1548" t="s">
        <v>3163</v>
      </c>
      <c r="C1548" t="s">
        <v>39</v>
      </c>
      <c r="E1548" t="s">
        <v>1434</v>
      </c>
    </row>
    <row r="1549" spans="1:5" x14ac:dyDescent="0.4">
      <c r="A1549" t="s">
        <v>3164</v>
      </c>
      <c r="B1549" t="s">
        <v>3165</v>
      </c>
      <c r="C1549" t="s">
        <v>6</v>
      </c>
      <c r="D1549" t="s">
        <v>13</v>
      </c>
      <c r="E1549" t="s">
        <v>1434</v>
      </c>
    </row>
    <row r="1550" spans="1:5" x14ac:dyDescent="0.4">
      <c r="A1550" t="s">
        <v>3166</v>
      </c>
      <c r="B1550" t="s">
        <v>3167</v>
      </c>
      <c r="C1550" t="s">
        <v>6</v>
      </c>
      <c r="D1550" t="s">
        <v>33</v>
      </c>
      <c r="E1550" t="s">
        <v>1434</v>
      </c>
    </row>
    <row r="1551" spans="1:5" x14ac:dyDescent="0.4">
      <c r="A1551" t="s">
        <v>3168</v>
      </c>
      <c r="B1551" t="s">
        <v>3169</v>
      </c>
      <c r="C1551" t="s">
        <v>56</v>
      </c>
      <c r="E1551" t="s">
        <v>1434</v>
      </c>
    </row>
    <row r="1552" spans="1:5" x14ac:dyDescent="0.4">
      <c r="A1552" t="s">
        <v>3170</v>
      </c>
      <c r="B1552" t="s">
        <v>3171</v>
      </c>
      <c r="C1552" t="s">
        <v>6</v>
      </c>
      <c r="D1552" t="s">
        <v>7</v>
      </c>
      <c r="E1552" t="s">
        <v>2209</v>
      </c>
    </row>
    <row r="1553" spans="1:5" x14ac:dyDescent="0.4">
      <c r="A1553" t="s">
        <v>3172</v>
      </c>
      <c r="B1553" t="s">
        <v>3173</v>
      </c>
      <c r="C1553" t="s">
        <v>39</v>
      </c>
      <c r="E1553" t="s">
        <v>2209</v>
      </c>
    </row>
    <row r="1554" spans="1:5" x14ac:dyDescent="0.4">
      <c r="A1554" t="s">
        <v>3174</v>
      </c>
      <c r="B1554" t="s">
        <v>3175</v>
      </c>
      <c r="C1554" t="s">
        <v>6</v>
      </c>
      <c r="D1554" t="s">
        <v>1126</v>
      </c>
      <c r="E1554" t="s">
        <v>2209</v>
      </c>
    </row>
    <row r="1555" spans="1:5" x14ac:dyDescent="0.4">
      <c r="A1555" t="s">
        <v>3176</v>
      </c>
      <c r="B1555" t="s">
        <v>3177</v>
      </c>
      <c r="C1555" t="s">
        <v>6</v>
      </c>
      <c r="D1555" t="s">
        <v>13</v>
      </c>
      <c r="E1555" t="s">
        <v>2209</v>
      </c>
    </row>
    <row r="1556" spans="1:5" x14ac:dyDescent="0.4">
      <c r="A1556" t="s">
        <v>3178</v>
      </c>
      <c r="B1556" t="s">
        <v>3179</v>
      </c>
      <c r="C1556" t="s">
        <v>39</v>
      </c>
      <c r="E1556" t="s">
        <v>2209</v>
      </c>
    </row>
    <row r="1557" spans="1:5" x14ac:dyDescent="0.4">
      <c r="A1557" t="s">
        <v>3180</v>
      </c>
      <c r="B1557" t="s">
        <v>3181</v>
      </c>
      <c r="C1557" t="s">
        <v>6</v>
      </c>
      <c r="D1557" t="s">
        <v>24</v>
      </c>
      <c r="E1557" t="s">
        <v>2209</v>
      </c>
    </row>
    <row r="1558" spans="1:5" x14ac:dyDescent="0.4">
      <c r="A1558" t="s">
        <v>3182</v>
      </c>
      <c r="B1558" t="s">
        <v>3183</v>
      </c>
      <c r="C1558" t="s">
        <v>6</v>
      </c>
      <c r="D1558" t="s">
        <v>1126</v>
      </c>
      <c r="E1558" t="s">
        <v>2209</v>
      </c>
    </row>
    <row r="1559" spans="1:5" x14ac:dyDescent="0.4">
      <c r="A1559" t="s">
        <v>3184</v>
      </c>
      <c r="B1559" t="s">
        <v>3185</v>
      </c>
      <c r="C1559" t="s">
        <v>6</v>
      </c>
      <c r="D1559" t="s">
        <v>21</v>
      </c>
      <c r="E1559" t="s">
        <v>2209</v>
      </c>
    </row>
    <row r="1560" spans="1:5" x14ac:dyDescent="0.4">
      <c r="A1560" t="s">
        <v>3186</v>
      </c>
      <c r="B1560" t="s">
        <v>3187</v>
      </c>
      <c r="C1560" t="s">
        <v>6</v>
      </c>
      <c r="D1560" t="s">
        <v>33</v>
      </c>
      <c r="E1560" t="s">
        <v>2209</v>
      </c>
    </row>
    <row r="1561" spans="1:5" x14ac:dyDescent="0.4">
      <c r="A1561" t="s">
        <v>3188</v>
      </c>
      <c r="B1561" t="s">
        <v>3189</v>
      </c>
      <c r="C1561" t="s">
        <v>6</v>
      </c>
      <c r="D1561" t="s">
        <v>16</v>
      </c>
      <c r="E1561" t="s">
        <v>2209</v>
      </c>
    </row>
    <row r="1562" spans="1:5" x14ac:dyDescent="0.4">
      <c r="A1562" t="s">
        <v>3190</v>
      </c>
      <c r="B1562" t="s">
        <v>3191</v>
      </c>
      <c r="C1562" t="s">
        <v>39</v>
      </c>
      <c r="E1562" t="s">
        <v>2209</v>
      </c>
    </row>
    <row r="1563" spans="1:5" x14ac:dyDescent="0.4">
      <c r="A1563" t="s">
        <v>3192</v>
      </c>
      <c r="B1563" t="s">
        <v>3193</v>
      </c>
      <c r="C1563" t="s">
        <v>6</v>
      </c>
      <c r="D1563" t="s">
        <v>24</v>
      </c>
      <c r="E1563" t="s">
        <v>2209</v>
      </c>
    </row>
    <row r="1564" spans="1:5" x14ac:dyDescent="0.4">
      <c r="A1564" t="s">
        <v>3194</v>
      </c>
      <c r="B1564" t="s">
        <v>3195</v>
      </c>
      <c r="C1564" t="s">
        <v>6</v>
      </c>
      <c r="D1564" t="s">
        <v>16</v>
      </c>
      <c r="E1564" t="s">
        <v>2209</v>
      </c>
    </row>
    <row r="1565" spans="1:5" x14ac:dyDescent="0.4">
      <c r="A1565" t="s">
        <v>3196</v>
      </c>
      <c r="B1565" t="s">
        <v>3197</v>
      </c>
      <c r="C1565" t="s">
        <v>6</v>
      </c>
      <c r="D1565" t="s">
        <v>7</v>
      </c>
      <c r="E1565" t="s">
        <v>2209</v>
      </c>
    </row>
    <row r="1566" spans="1:5" x14ac:dyDescent="0.4">
      <c r="A1566" t="s">
        <v>3198</v>
      </c>
      <c r="B1566" t="s">
        <v>3199</v>
      </c>
      <c r="C1566" t="s">
        <v>6</v>
      </c>
      <c r="D1566" t="s">
        <v>1126</v>
      </c>
      <c r="E1566" t="s">
        <v>2209</v>
      </c>
    </row>
    <row r="1567" spans="1:5" x14ac:dyDescent="0.4">
      <c r="A1567" t="s">
        <v>3200</v>
      </c>
      <c r="B1567" t="s">
        <v>3201</v>
      </c>
      <c r="C1567" t="s">
        <v>39</v>
      </c>
      <c r="E1567" t="s">
        <v>2209</v>
      </c>
    </row>
    <row r="1568" spans="1:5" x14ac:dyDescent="0.4">
      <c r="A1568" t="s">
        <v>3202</v>
      </c>
      <c r="B1568" t="s">
        <v>3203</v>
      </c>
      <c r="C1568" t="s">
        <v>39</v>
      </c>
      <c r="E1568" t="s">
        <v>2209</v>
      </c>
    </row>
    <row r="1569" spans="1:5" x14ac:dyDescent="0.4">
      <c r="A1569" t="s">
        <v>3204</v>
      </c>
      <c r="B1569" t="s">
        <v>3205</v>
      </c>
      <c r="C1569" t="s">
        <v>39</v>
      </c>
      <c r="E1569" t="s">
        <v>2209</v>
      </c>
    </row>
    <row r="1570" spans="1:5" x14ac:dyDescent="0.4">
      <c r="A1570" t="s">
        <v>3206</v>
      </c>
      <c r="B1570" t="s">
        <v>3207</v>
      </c>
      <c r="C1570" t="s">
        <v>6</v>
      </c>
      <c r="D1570" t="s">
        <v>33</v>
      </c>
      <c r="E1570" t="s">
        <v>2209</v>
      </c>
    </row>
    <row r="1571" spans="1:5" x14ac:dyDescent="0.4">
      <c r="A1571" t="s">
        <v>3208</v>
      </c>
      <c r="B1571" t="s">
        <v>3209</v>
      </c>
      <c r="C1571" t="s">
        <v>6</v>
      </c>
      <c r="D1571" t="s">
        <v>27</v>
      </c>
      <c r="E1571" t="s">
        <v>2209</v>
      </c>
    </row>
    <row r="1572" spans="1:5" x14ac:dyDescent="0.4">
      <c r="A1572" t="s">
        <v>3210</v>
      </c>
      <c r="B1572" t="s">
        <v>3211</v>
      </c>
      <c r="C1572" t="s">
        <v>6</v>
      </c>
      <c r="D1572" t="s">
        <v>10</v>
      </c>
      <c r="E1572" t="s">
        <v>2209</v>
      </c>
    </row>
    <row r="1573" spans="1:5" x14ac:dyDescent="0.4">
      <c r="A1573" t="s">
        <v>3212</v>
      </c>
      <c r="B1573" t="s">
        <v>3213</v>
      </c>
      <c r="C1573" t="s">
        <v>6</v>
      </c>
      <c r="D1573" t="s">
        <v>7</v>
      </c>
      <c r="E1573" t="s">
        <v>2209</v>
      </c>
    </row>
    <row r="1574" spans="1:5" x14ac:dyDescent="0.4">
      <c r="A1574" t="s">
        <v>3214</v>
      </c>
      <c r="B1574" t="s">
        <v>3215</v>
      </c>
      <c r="C1574" t="s">
        <v>6</v>
      </c>
      <c r="D1574" t="s">
        <v>7</v>
      </c>
      <c r="E1574" t="s">
        <v>2209</v>
      </c>
    </row>
    <row r="1575" spans="1:5" x14ac:dyDescent="0.4">
      <c r="A1575" t="s">
        <v>3216</v>
      </c>
      <c r="B1575" t="s">
        <v>3217</v>
      </c>
      <c r="C1575" t="s">
        <v>39</v>
      </c>
      <c r="E1575" t="s">
        <v>2209</v>
      </c>
    </row>
    <row r="1576" spans="1:5" x14ac:dyDescent="0.4">
      <c r="A1576" t="s">
        <v>3218</v>
      </c>
      <c r="B1576" t="s">
        <v>3219</v>
      </c>
      <c r="C1576" t="s">
        <v>39</v>
      </c>
      <c r="E1576" t="s">
        <v>2209</v>
      </c>
    </row>
    <row r="1577" spans="1:5" x14ac:dyDescent="0.4">
      <c r="A1577" t="s">
        <v>3220</v>
      </c>
      <c r="B1577" t="s">
        <v>3221</v>
      </c>
      <c r="C1577" t="s">
        <v>6</v>
      </c>
      <c r="D1577" t="s">
        <v>10</v>
      </c>
      <c r="E1577" t="s">
        <v>2209</v>
      </c>
    </row>
    <row r="1578" spans="1:5" x14ac:dyDescent="0.4">
      <c r="A1578" t="s">
        <v>3222</v>
      </c>
      <c r="B1578" t="s">
        <v>3223</v>
      </c>
      <c r="C1578" t="s">
        <v>6</v>
      </c>
      <c r="D1578" t="s">
        <v>1126</v>
      </c>
      <c r="E1578" t="s">
        <v>2209</v>
      </c>
    </row>
    <row r="1579" spans="1:5" x14ac:dyDescent="0.4">
      <c r="A1579" t="s">
        <v>3224</v>
      </c>
      <c r="B1579" t="s">
        <v>3225</v>
      </c>
      <c r="C1579" t="s">
        <v>6</v>
      </c>
      <c r="D1579" t="s">
        <v>10</v>
      </c>
      <c r="E1579" t="s">
        <v>2209</v>
      </c>
    </row>
    <row r="1580" spans="1:5" x14ac:dyDescent="0.4">
      <c r="A1580" t="s">
        <v>3226</v>
      </c>
      <c r="B1580" t="s">
        <v>3227</v>
      </c>
      <c r="C1580" t="s">
        <v>6</v>
      </c>
      <c r="D1580" t="s">
        <v>27</v>
      </c>
      <c r="E1580" t="s">
        <v>2209</v>
      </c>
    </row>
    <row r="1581" spans="1:5" x14ac:dyDescent="0.4">
      <c r="A1581" t="s">
        <v>3228</v>
      </c>
      <c r="B1581" t="s">
        <v>3229</v>
      </c>
      <c r="C1581" t="s">
        <v>6</v>
      </c>
      <c r="D1581" t="s">
        <v>33</v>
      </c>
      <c r="E1581" t="s">
        <v>2209</v>
      </c>
    </row>
    <row r="1582" spans="1:5" x14ac:dyDescent="0.4">
      <c r="A1582" t="s">
        <v>3230</v>
      </c>
      <c r="B1582" t="s">
        <v>3231</v>
      </c>
      <c r="C1582" t="s">
        <v>6</v>
      </c>
      <c r="D1582" t="s">
        <v>30</v>
      </c>
      <c r="E1582" t="s">
        <v>2209</v>
      </c>
    </row>
    <row r="1583" spans="1:5" x14ac:dyDescent="0.4">
      <c r="A1583" t="s">
        <v>3232</v>
      </c>
      <c r="B1583" t="s">
        <v>3233</v>
      </c>
      <c r="C1583" t="s">
        <v>39</v>
      </c>
      <c r="E1583" t="s">
        <v>2209</v>
      </c>
    </row>
    <row r="1584" spans="1:5" x14ac:dyDescent="0.4">
      <c r="A1584" t="s">
        <v>3234</v>
      </c>
      <c r="B1584" t="s">
        <v>3235</v>
      </c>
      <c r="C1584" t="s">
        <v>6</v>
      </c>
      <c r="D1584" t="s">
        <v>1126</v>
      </c>
      <c r="E1584" t="s">
        <v>2209</v>
      </c>
    </row>
    <row r="1585" spans="1:5" x14ac:dyDescent="0.4">
      <c r="A1585" t="s">
        <v>3236</v>
      </c>
      <c r="B1585" t="s">
        <v>3237</v>
      </c>
      <c r="C1585" t="s">
        <v>6</v>
      </c>
      <c r="D1585" t="s">
        <v>16</v>
      </c>
      <c r="E1585" t="s">
        <v>2209</v>
      </c>
    </row>
    <row r="1586" spans="1:5" x14ac:dyDescent="0.4">
      <c r="A1586" t="s">
        <v>3238</v>
      </c>
      <c r="B1586" t="s">
        <v>3239</v>
      </c>
      <c r="C1586" t="s">
        <v>39</v>
      </c>
      <c r="E1586" t="s">
        <v>2209</v>
      </c>
    </row>
    <row r="1587" spans="1:5" x14ac:dyDescent="0.4">
      <c r="A1587" t="s">
        <v>3240</v>
      </c>
      <c r="B1587" t="s">
        <v>3241</v>
      </c>
      <c r="C1587" t="s">
        <v>6</v>
      </c>
      <c r="D1587" t="s">
        <v>27</v>
      </c>
      <c r="E1587" t="s">
        <v>2209</v>
      </c>
    </row>
    <row r="1588" spans="1:5" x14ac:dyDescent="0.4">
      <c r="A1588" t="s">
        <v>3242</v>
      </c>
      <c r="B1588" t="s">
        <v>3243</v>
      </c>
      <c r="C1588" t="s">
        <v>39</v>
      </c>
      <c r="E1588" t="s">
        <v>2209</v>
      </c>
    </row>
    <row r="1589" spans="1:5" x14ac:dyDescent="0.4">
      <c r="A1589" t="s">
        <v>3244</v>
      </c>
      <c r="B1589" t="s">
        <v>3245</v>
      </c>
      <c r="C1589" t="s">
        <v>6</v>
      </c>
      <c r="D1589" t="s">
        <v>16</v>
      </c>
      <c r="E1589" t="s">
        <v>2209</v>
      </c>
    </row>
    <row r="1590" spans="1:5" x14ac:dyDescent="0.4">
      <c r="A1590" t="s">
        <v>3246</v>
      </c>
      <c r="B1590" t="s">
        <v>3247</v>
      </c>
      <c r="C1590" t="s">
        <v>6</v>
      </c>
      <c r="D1590" t="s">
        <v>21</v>
      </c>
      <c r="E1590" t="s">
        <v>2209</v>
      </c>
    </row>
    <row r="1591" spans="1:5" x14ac:dyDescent="0.4">
      <c r="A1591" t="s">
        <v>3248</v>
      </c>
      <c r="B1591" t="s">
        <v>3249</v>
      </c>
      <c r="C1591" t="s">
        <v>6</v>
      </c>
      <c r="D1591" t="s">
        <v>33</v>
      </c>
      <c r="E1591" t="s">
        <v>2209</v>
      </c>
    </row>
    <row r="1592" spans="1:5" x14ac:dyDescent="0.4">
      <c r="A1592" t="s">
        <v>3250</v>
      </c>
      <c r="B1592" t="s">
        <v>3251</v>
      </c>
      <c r="C1592" t="s">
        <v>6</v>
      </c>
      <c r="D1592" t="s">
        <v>13</v>
      </c>
      <c r="E1592" t="s">
        <v>2209</v>
      </c>
    </row>
    <row r="1593" spans="1:5" x14ac:dyDescent="0.4">
      <c r="A1593" t="s">
        <v>3252</v>
      </c>
      <c r="B1593" t="s">
        <v>3253</v>
      </c>
      <c r="C1593" t="s">
        <v>6</v>
      </c>
      <c r="D1593" t="s">
        <v>13</v>
      </c>
      <c r="E1593" t="s">
        <v>2209</v>
      </c>
    </row>
    <row r="1594" spans="1:5" x14ac:dyDescent="0.4">
      <c r="A1594" t="s">
        <v>3254</v>
      </c>
      <c r="B1594" t="s">
        <v>3255</v>
      </c>
      <c r="C1594" t="s">
        <v>39</v>
      </c>
      <c r="E1594" t="s">
        <v>2209</v>
      </c>
    </row>
    <row r="1595" spans="1:5" x14ac:dyDescent="0.4">
      <c r="A1595" t="s">
        <v>3256</v>
      </c>
      <c r="B1595" t="s">
        <v>3257</v>
      </c>
      <c r="C1595" t="s">
        <v>6</v>
      </c>
      <c r="D1595" t="s">
        <v>24</v>
      </c>
      <c r="E1595" t="s">
        <v>2209</v>
      </c>
    </row>
    <row r="1596" spans="1:5" x14ac:dyDescent="0.4">
      <c r="A1596" t="s">
        <v>3258</v>
      </c>
      <c r="B1596" t="s">
        <v>3259</v>
      </c>
      <c r="C1596" t="s">
        <v>6</v>
      </c>
      <c r="D1596" t="s">
        <v>30</v>
      </c>
      <c r="E1596" t="s">
        <v>2209</v>
      </c>
    </row>
    <row r="1597" spans="1:5" x14ac:dyDescent="0.4">
      <c r="A1597" t="s">
        <v>3260</v>
      </c>
      <c r="B1597" t="s">
        <v>3261</v>
      </c>
      <c r="C1597" t="s">
        <v>6</v>
      </c>
      <c r="D1597" t="s">
        <v>16</v>
      </c>
      <c r="E1597" t="s">
        <v>2209</v>
      </c>
    </row>
    <row r="1598" spans="1:5" x14ac:dyDescent="0.4">
      <c r="A1598" t="s">
        <v>3262</v>
      </c>
      <c r="B1598" t="s">
        <v>3263</v>
      </c>
      <c r="C1598" t="s">
        <v>6</v>
      </c>
      <c r="D1598" t="s">
        <v>7</v>
      </c>
      <c r="E1598" t="s">
        <v>2209</v>
      </c>
    </row>
    <row r="1599" spans="1:5" x14ac:dyDescent="0.4">
      <c r="A1599" t="s">
        <v>3264</v>
      </c>
      <c r="B1599" t="s">
        <v>3265</v>
      </c>
      <c r="C1599" t="s">
        <v>39</v>
      </c>
      <c r="E1599" t="s">
        <v>2209</v>
      </c>
    </row>
    <row r="1600" spans="1:5" x14ac:dyDescent="0.4">
      <c r="A1600" t="s">
        <v>3266</v>
      </c>
      <c r="B1600" t="s">
        <v>3267</v>
      </c>
      <c r="C1600" t="s">
        <v>39</v>
      </c>
      <c r="E1600" t="s">
        <v>2209</v>
      </c>
    </row>
    <row r="1601" spans="1:5" x14ac:dyDescent="0.4">
      <c r="A1601" t="s">
        <v>3268</v>
      </c>
      <c r="B1601" t="s">
        <v>3269</v>
      </c>
      <c r="C1601" t="s">
        <v>39</v>
      </c>
      <c r="E1601" t="s">
        <v>2209</v>
      </c>
    </row>
    <row r="1602" spans="1:5" x14ac:dyDescent="0.4">
      <c r="A1602" t="s">
        <v>3270</v>
      </c>
      <c r="B1602" t="s">
        <v>3271</v>
      </c>
      <c r="C1602" t="s">
        <v>6</v>
      </c>
      <c r="D1602" t="s">
        <v>36</v>
      </c>
      <c r="E1602" t="s">
        <v>2209</v>
      </c>
    </row>
    <row r="1603" spans="1:5" x14ac:dyDescent="0.4">
      <c r="A1603" t="s">
        <v>3272</v>
      </c>
      <c r="B1603" t="s">
        <v>3273</v>
      </c>
      <c r="C1603" t="s">
        <v>6</v>
      </c>
      <c r="D1603" t="s">
        <v>21</v>
      </c>
      <c r="E1603" t="s">
        <v>2209</v>
      </c>
    </row>
    <row r="1604" spans="1:5" x14ac:dyDescent="0.4">
      <c r="A1604" t="s">
        <v>3274</v>
      </c>
      <c r="B1604" t="s">
        <v>3275</v>
      </c>
      <c r="C1604" t="s">
        <v>6</v>
      </c>
      <c r="D1604" t="s">
        <v>10</v>
      </c>
      <c r="E1604" t="s">
        <v>2209</v>
      </c>
    </row>
    <row r="1605" spans="1:5" x14ac:dyDescent="0.4">
      <c r="A1605" t="s">
        <v>3276</v>
      </c>
      <c r="B1605" t="s">
        <v>3277</v>
      </c>
      <c r="C1605" t="s">
        <v>6</v>
      </c>
      <c r="D1605" t="s">
        <v>1126</v>
      </c>
      <c r="E1605" t="s">
        <v>2209</v>
      </c>
    </row>
    <row r="1606" spans="1:5" x14ac:dyDescent="0.4">
      <c r="A1606" t="s">
        <v>3278</v>
      </c>
      <c r="B1606" t="s">
        <v>3279</v>
      </c>
      <c r="C1606" t="s">
        <v>6</v>
      </c>
      <c r="D1606" t="s">
        <v>13</v>
      </c>
      <c r="E1606" t="s">
        <v>2209</v>
      </c>
    </row>
    <row r="1607" spans="1:5" x14ac:dyDescent="0.4">
      <c r="A1607" t="s">
        <v>3280</v>
      </c>
      <c r="B1607" t="s">
        <v>3281</v>
      </c>
      <c r="C1607" t="s">
        <v>6</v>
      </c>
      <c r="D1607" t="s">
        <v>30</v>
      </c>
      <c r="E1607" t="s">
        <v>2209</v>
      </c>
    </row>
    <row r="1608" spans="1:5" x14ac:dyDescent="0.4">
      <c r="A1608" t="s">
        <v>3282</v>
      </c>
      <c r="B1608" t="s">
        <v>3283</v>
      </c>
      <c r="C1608" t="s">
        <v>6</v>
      </c>
      <c r="D1608" t="s">
        <v>1126</v>
      </c>
      <c r="E1608" t="s">
        <v>2209</v>
      </c>
    </row>
    <row r="1609" spans="1:5" x14ac:dyDescent="0.4">
      <c r="A1609" t="s">
        <v>3284</v>
      </c>
      <c r="B1609" t="s">
        <v>3285</v>
      </c>
      <c r="C1609" t="s">
        <v>6</v>
      </c>
      <c r="D1609" t="s">
        <v>33</v>
      </c>
      <c r="E1609" t="s">
        <v>2209</v>
      </c>
    </row>
    <row r="1610" spans="1:5" x14ac:dyDescent="0.4">
      <c r="A1610" t="s">
        <v>3286</v>
      </c>
      <c r="B1610" t="s">
        <v>3287</v>
      </c>
      <c r="C1610" t="s">
        <v>39</v>
      </c>
      <c r="E1610" t="s">
        <v>2209</v>
      </c>
    </row>
    <row r="1611" spans="1:5" x14ac:dyDescent="0.4">
      <c r="A1611" t="s">
        <v>3288</v>
      </c>
      <c r="B1611" t="s">
        <v>3289</v>
      </c>
      <c r="C1611" t="s">
        <v>6</v>
      </c>
      <c r="D1611" t="s">
        <v>10</v>
      </c>
      <c r="E1611" t="s">
        <v>2209</v>
      </c>
    </row>
    <row r="1612" spans="1:5" x14ac:dyDescent="0.4">
      <c r="A1612" t="s">
        <v>3290</v>
      </c>
      <c r="B1612" t="s">
        <v>3291</v>
      </c>
      <c r="C1612" t="s">
        <v>6</v>
      </c>
      <c r="D1612" t="s">
        <v>10</v>
      </c>
      <c r="E1612" t="s">
        <v>2209</v>
      </c>
    </row>
    <row r="1613" spans="1:5" x14ac:dyDescent="0.4">
      <c r="A1613" t="s">
        <v>3292</v>
      </c>
      <c r="B1613" t="s">
        <v>3293</v>
      </c>
      <c r="C1613" t="s">
        <v>6</v>
      </c>
      <c r="D1613" t="s">
        <v>1126</v>
      </c>
      <c r="E1613" t="s">
        <v>2209</v>
      </c>
    </row>
    <row r="1614" spans="1:5" x14ac:dyDescent="0.4">
      <c r="A1614" t="s">
        <v>3294</v>
      </c>
      <c r="B1614" t="s">
        <v>3295</v>
      </c>
      <c r="C1614" t="s">
        <v>39</v>
      </c>
      <c r="E1614" t="s">
        <v>2209</v>
      </c>
    </row>
    <row r="1615" spans="1:5" x14ac:dyDescent="0.4">
      <c r="A1615" t="s">
        <v>3296</v>
      </c>
      <c r="B1615" t="s">
        <v>3297</v>
      </c>
      <c r="C1615" t="s">
        <v>39</v>
      </c>
      <c r="E1615" t="s">
        <v>2209</v>
      </c>
    </row>
    <row r="1616" spans="1:5" x14ac:dyDescent="0.4">
      <c r="A1616" t="s">
        <v>3298</v>
      </c>
      <c r="B1616" t="s">
        <v>3299</v>
      </c>
      <c r="C1616" t="s">
        <v>39</v>
      </c>
      <c r="E1616" t="s">
        <v>2209</v>
      </c>
    </row>
    <row r="1617" spans="1:5" x14ac:dyDescent="0.4">
      <c r="A1617" t="s">
        <v>3300</v>
      </c>
      <c r="B1617" t="s">
        <v>3301</v>
      </c>
      <c r="C1617" t="s">
        <v>39</v>
      </c>
      <c r="E1617" t="s">
        <v>2209</v>
      </c>
    </row>
    <row r="1618" spans="1:5" x14ac:dyDescent="0.4">
      <c r="A1618" t="s">
        <v>3302</v>
      </c>
      <c r="B1618" t="s">
        <v>3303</v>
      </c>
      <c r="C1618" t="s">
        <v>56</v>
      </c>
      <c r="E1618" t="s">
        <v>2209</v>
      </c>
    </row>
    <row r="1619" spans="1:5" x14ac:dyDescent="0.4">
      <c r="A1619" t="s">
        <v>3304</v>
      </c>
      <c r="B1619" t="s">
        <v>3305</v>
      </c>
      <c r="C1619" t="s">
        <v>6</v>
      </c>
      <c r="D1619" t="s">
        <v>16</v>
      </c>
      <c r="E1619" t="s">
        <v>2209</v>
      </c>
    </row>
    <row r="1620" spans="1:5" x14ac:dyDescent="0.4">
      <c r="A1620" t="s">
        <v>3306</v>
      </c>
      <c r="B1620" t="s">
        <v>3307</v>
      </c>
      <c r="C1620" t="s">
        <v>56</v>
      </c>
      <c r="E1620" t="s">
        <v>2209</v>
      </c>
    </row>
    <row r="1621" spans="1:5" x14ac:dyDescent="0.4">
      <c r="A1621" t="s">
        <v>3308</v>
      </c>
      <c r="B1621" t="s">
        <v>3309</v>
      </c>
      <c r="C1621" t="s">
        <v>56</v>
      </c>
      <c r="E1621" t="s">
        <v>2209</v>
      </c>
    </row>
    <row r="1622" spans="1:5" x14ac:dyDescent="0.4">
      <c r="A1622" t="s">
        <v>3310</v>
      </c>
      <c r="B1622" t="s">
        <v>3311</v>
      </c>
      <c r="C1622" t="s">
        <v>56</v>
      </c>
      <c r="E1622" t="s">
        <v>2209</v>
      </c>
    </row>
    <row r="1623" spans="1:5" x14ac:dyDescent="0.4">
      <c r="A1623" t="s">
        <v>3312</v>
      </c>
      <c r="B1623" t="s">
        <v>3313</v>
      </c>
      <c r="C1623" t="s">
        <v>6</v>
      </c>
      <c r="D1623" t="s">
        <v>16</v>
      </c>
      <c r="E1623" t="s">
        <v>2209</v>
      </c>
    </row>
    <row r="1624" spans="1:5" x14ac:dyDescent="0.4">
      <c r="A1624" t="s">
        <v>3314</v>
      </c>
      <c r="B1624" t="s">
        <v>3315</v>
      </c>
      <c r="C1624" t="s">
        <v>6</v>
      </c>
      <c r="D1624" t="s">
        <v>33</v>
      </c>
      <c r="E1624" t="s">
        <v>2209</v>
      </c>
    </row>
    <row r="1625" spans="1:5" x14ac:dyDescent="0.4">
      <c r="A1625" t="s">
        <v>3316</v>
      </c>
      <c r="B1625" t="s">
        <v>3317</v>
      </c>
      <c r="C1625" t="s">
        <v>6</v>
      </c>
      <c r="D1625" t="s">
        <v>10</v>
      </c>
      <c r="E1625" t="s">
        <v>2209</v>
      </c>
    </row>
    <row r="1626" spans="1:5" x14ac:dyDescent="0.4">
      <c r="A1626" t="s">
        <v>3318</v>
      </c>
      <c r="B1626" t="s">
        <v>3319</v>
      </c>
      <c r="C1626" t="s">
        <v>6</v>
      </c>
      <c r="D1626" t="s">
        <v>10</v>
      </c>
      <c r="E1626" t="s">
        <v>2209</v>
      </c>
    </row>
    <row r="1627" spans="1:5" x14ac:dyDescent="0.4">
      <c r="A1627" t="s">
        <v>3320</v>
      </c>
      <c r="B1627" t="s">
        <v>3321</v>
      </c>
      <c r="C1627" t="s">
        <v>6</v>
      </c>
      <c r="D1627" t="s">
        <v>33</v>
      </c>
      <c r="E1627" t="s">
        <v>2209</v>
      </c>
    </row>
    <row r="1628" spans="1:5" x14ac:dyDescent="0.4">
      <c r="A1628" t="s">
        <v>3322</v>
      </c>
      <c r="B1628" t="s">
        <v>3323</v>
      </c>
      <c r="C1628" t="s">
        <v>6</v>
      </c>
      <c r="D1628" t="s">
        <v>30</v>
      </c>
      <c r="E1628" t="s">
        <v>2209</v>
      </c>
    </row>
    <row r="1629" spans="1:5" x14ac:dyDescent="0.4">
      <c r="A1629" t="s">
        <v>3324</v>
      </c>
      <c r="B1629" t="s">
        <v>3325</v>
      </c>
      <c r="C1629" t="s">
        <v>6</v>
      </c>
      <c r="D1629" t="s">
        <v>16</v>
      </c>
      <c r="E1629" t="s">
        <v>2209</v>
      </c>
    </row>
    <row r="1630" spans="1:5" x14ac:dyDescent="0.4">
      <c r="A1630" t="s">
        <v>3326</v>
      </c>
      <c r="B1630" t="s">
        <v>3327</v>
      </c>
      <c r="C1630" t="s">
        <v>6</v>
      </c>
      <c r="D1630" t="s">
        <v>30</v>
      </c>
      <c r="E1630" t="s">
        <v>2209</v>
      </c>
    </row>
    <row r="1631" spans="1:5" x14ac:dyDescent="0.4">
      <c r="A1631" t="s">
        <v>3328</v>
      </c>
      <c r="B1631" t="s">
        <v>3329</v>
      </c>
      <c r="C1631" t="s">
        <v>6</v>
      </c>
      <c r="D1631" t="s">
        <v>27</v>
      </c>
      <c r="E1631" t="s">
        <v>2209</v>
      </c>
    </row>
    <row r="1632" spans="1:5" x14ac:dyDescent="0.4">
      <c r="A1632" t="s">
        <v>3330</v>
      </c>
      <c r="B1632" t="s">
        <v>3331</v>
      </c>
      <c r="C1632" t="s">
        <v>39</v>
      </c>
      <c r="E1632" t="s">
        <v>2209</v>
      </c>
    </row>
    <row r="1633" spans="1:5" x14ac:dyDescent="0.4">
      <c r="A1633" t="s">
        <v>3332</v>
      </c>
      <c r="B1633" t="s">
        <v>3333</v>
      </c>
      <c r="C1633" t="s">
        <v>39</v>
      </c>
      <c r="E1633" t="s">
        <v>2209</v>
      </c>
    </row>
    <row r="1634" spans="1:5" x14ac:dyDescent="0.4">
      <c r="A1634" t="s">
        <v>3334</v>
      </c>
      <c r="B1634" t="s">
        <v>3335</v>
      </c>
      <c r="C1634" t="s">
        <v>39</v>
      </c>
      <c r="E1634" t="s">
        <v>2209</v>
      </c>
    </row>
    <row r="1635" spans="1:5" x14ac:dyDescent="0.4">
      <c r="A1635" t="s">
        <v>3336</v>
      </c>
      <c r="B1635" t="s">
        <v>3337</v>
      </c>
      <c r="C1635" t="s">
        <v>39</v>
      </c>
      <c r="E1635" t="s">
        <v>2209</v>
      </c>
    </row>
    <row r="1636" spans="1:5" x14ac:dyDescent="0.4">
      <c r="A1636" t="s">
        <v>3338</v>
      </c>
      <c r="B1636" t="s">
        <v>3339</v>
      </c>
      <c r="C1636" t="s">
        <v>39</v>
      </c>
      <c r="E1636" t="s">
        <v>2209</v>
      </c>
    </row>
    <row r="1637" spans="1:5" x14ac:dyDescent="0.4">
      <c r="A1637" t="s">
        <v>3340</v>
      </c>
      <c r="B1637" t="s">
        <v>3341</v>
      </c>
      <c r="C1637" t="s">
        <v>39</v>
      </c>
      <c r="E1637" t="s">
        <v>2209</v>
      </c>
    </row>
    <row r="1638" spans="1:5" x14ac:dyDescent="0.4">
      <c r="A1638" t="s">
        <v>3342</v>
      </c>
      <c r="B1638" t="s">
        <v>3343</v>
      </c>
      <c r="C1638" t="s">
        <v>56</v>
      </c>
      <c r="E1638" t="s">
        <v>2209</v>
      </c>
    </row>
    <row r="1639" spans="1:5" x14ac:dyDescent="0.4">
      <c r="A1639" t="s">
        <v>3344</v>
      </c>
      <c r="B1639" t="s">
        <v>3345</v>
      </c>
      <c r="C1639" t="s">
        <v>56</v>
      </c>
      <c r="E1639" t="s">
        <v>2209</v>
      </c>
    </row>
    <row r="1640" spans="1:5" x14ac:dyDescent="0.4">
      <c r="A1640" t="s">
        <v>3346</v>
      </c>
      <c r="B1640" t="s">
        <v>3347</v>
      </c>
      <c r="C1640" t="s">
        <v>56</v>
      </c>
      <c r="E1640" t="s">
        <v>2209</v>
      </c>
    </row>
    <row r="1641" spans="1:5" x14ac:dyDescent="0.4">
      <c r="A1641" t="s">
        <v>3348</v>
      </c>
      <c r="B1641" t="s">
        <v>3349</v>
      </c>
      <c r="C1641" t="s">
        <v>56</v>
      </c>
      <c r="E1641" t="s">
        <v>2209</v>
      </c>
    </row>
    <row r="1642" spans="1:5" x14ac:dyDescent="0.4">
      <c r="A1642" t="s">
        <v>3350</v>
      </c>
      <c r="B1642" t="s">
        <v>3351</v>
      </c>
      <c r="C1642" t="s">
        <v>56</v>
      </c>
      <c r="E1642" t="s">
        <v>2209</v>
      </c>
    </row>
    <row r="1643" spans="1:5" x14ac:dyDescent="0.4">
      <c r="A1643" t="s">
        <v>3352</v>
      </c>
      <c r="B1643" t="s">
        <v>3353</v>
      </c>
      <c r="C1643" t="s">
        <v>56</v>
      </c>
      <c r="E1643" t="s">
        <v>2209</v>
      </c>
    </row>
    <row r="1644" spans="1:5" x14ac:dyDescent="0.4">
      <c r="A1644" t="s">
        <v>3354</v>
      </c>
      <c r="B1644" t="s">
        <v>3355</v>
      </c>
      <c r="C1644" t="s">
        <v>6</v>
      </c>
      <c r="D1644" t="s">
        <v>1126</v>
      </c>
      <c r="E1644" t="s">
        <v>2209</v>
      </c>
    </row>
    <row r="1645" spans="1:5" x14ac:dyDescent="0.4">
      <c r="A1645" t="s">
        <v>3356</v>
      </c>
      <c r="B1645" t="s">
        <v>3357</v>
      </c>
      <c r="C1645" t="s">
        <v>6</v>
      </c>
      <c r="D1645" t="s">
        <v>10</v>
      </c>
      <c r="E1645" t="s">
        <v>2209</v>
      </c>
    </row>
    <row r="1646" spans="1:5" x14ac:dyDescent="0.4">
      <c r="A1646" t="s">
        <v>3358</v>
      </c>
      <c r="B1646" t="s">
        <v>3359</v>
      </c>
      <c r="C1646" t="s">
        <v>6</v>
      </c>
      <c r="D1646" t="s">
        <v>16</v>
      </c>
      <c r="E1646" t="s">
        <v>2209</v>
      </c>
    </row>
    <row r="1647" spans="1:5" x14ac:dyDescent="0.4">
      <c r="A1647" t="s">
        <v>3360</v>
      </c>
      <c r="B1647" t="s">
        <v>3361</v>
      </c>
      <c r="C1647" t="s">
        <v>6</v>
      </c>
      <c r="D1647" t="s">
        <v>21</v>
      </c>
      <c r="E1647" t="s">
        <v>2209</v>
      </c>
    </row>
    <row r="1648" spans="1:5" x14ac:dyDescent="0.4">
      <c r="A1648" t="s">
        <v>3362</v>
      </c>
      <c r="B1648" t="s">
        <v>3363</v>
      </c>
      <c r="C1648" t="s">
        <v>6</v>
      </c>
      <c r="D1648" t="s">
        <v>1126</v>
      </c>
      <c r="E1648" t="s">
        <v>2209</v>
      </c>
    </row>
    <row r="1649" spans="1:5" x14ac:dyDescent="0.4">
      <c r="A1649" t="s">
        <v>3364</v>
      </c>
      <c r="B1649" t="s">
        <v>3365</v>
      </c>
      <c r="C1649" t="s">
        <v>6</v>
      </c>
      <c r="D1649" t="s">
        <v>27</v>
      </c>
      <c r="E1649" t="s">
        <v>2209</v>
      </c>
    </row>
    <row r="1650" spans="1:5" x14ac:dyDescent="0.4">
      <c r="A1650" t="s">
        <v>3366</v>
      </c>
      <c r="B1650" t="s">
        <v>3367</v>
      </c>
      <c r="C1650" t="s">
        <v>39</v>
      </c>
      <c r="E1650" t="s">
        <v>2209</v>
      </c>
    </row>
    <row r="1651" spans="1:5" x14ac:dyDescent="0.4">
      <c r="A1651" t="s">
        <v>3368</v>
      </c>
      <c r="B1651" t="s">
        <v>3369</v>
      </c>
      <c r="C1651" t="s">
        <v>39</v>
      </c>
      <c r="E1651" t="s">
        <v>2209</v>
      </c>
    </row>
    <row r="1652" spans="1:5" x14ac:dyDescent="0.4">
      <c r="A1652" t="s">
        <v>3370</v>
      </c>
      <c r="B1652" t="s">
        <v>3371</v>
      </c>
      <c r="C1652" t="s">
        <v>39</v>
      </c>
      <c r="E1652" t="s">
        <v>2209</v>
      </c>
    </row>
    <row r="1653" spans="1:5" x14ac:dyDescent="0.4">
      <c r="A1653" t="s">
        <v>3372</v>
      </c>
      <c r="B1653" t="s">
        <v>3373</v>
      </c>
      <c r="C1653" t="s">
        <v>39</v>
      </c>
      <c r="E1653" t="s">
        <v>2209</v>
      </c>
    </row>
    <row r="1654" spans="1:5" x14ac:dyDescent="0.4">
      <c r="A1654" t="s">
        <v>3374</v>
      </c>
      <c r="B1654" t="s">
        <v>3375</v>
      </c>
      <c r="C1654" t="s">
        <v>39</v>
      </c>
      <c r="E1654" t="s">
        <v>2209</v>
      </c>
    </row>
    <row r="1655" spans="1:5" x14ac:dyDescent="0.4">
      <c r="A1655" t="s">
        <v>3376</v>
      </c>
      <c r="B1655" t="s">
        <v>3377</v>
      </c>
      <c r="C1655" t="s">
        <v>39</v>
      </c>
      <c r="E1655" t="s">
        <v>2209</v>
      </c>
    </row>
    <row r="1656" spans="1:5" x14ac:dyDescent="0.4">
      <c r="A1656" t="s">
        <v>3378</v>
      </c>
      <c r="B1656" t="s">
        <v>3379</v>
      </c>
      <c r="C1656" t="s">
        <v>56</v>
      </c>
      <c r="E1656" t="s">
        <v>2209</v>
      </c>
    </row>
    <row r="1657" spans="1:5" x14ac:dyDescent="0.4">
      <c r="A1657" t="s">
        <v>3380</v>
      </c>
      <c r="B1657" t="s">
        <v>3381</v>
      </c>
      <c r="C1657" t="s">
        <v>56</v>
      </c>
      <c r="E1657" t="s">
        <v>2209</v>
      </c>
    </row>
    <row r="1658" spans="1:5" x14ac:dyDescent="0.4">
      <c r="A1658" t="s">
        <v>3382</v>
      </c>
      <c r="B1658" t="s">
        <v>3383</v>
      </c>
      <c r="C1658" t="s">
        <v>56</v>
      </c>
      <c r="E1658" t="s">
        <v>2209</v>
      </c>
    </row>
    <row r="1659" spans="1:5" x14ac:dyDescent="0.4">
      <c r="A1659" t="s">
        <v>3384</v>
      </c>
      <c r="B1659" t="s">
        <v>3385</v>
      </c>
      <c r="C1659" t="s">
        <v>56</v>
      </c>
      <c r="E1659" t="s">
        <v>2209</v>
      </c>
    </row>
    <row r="1660" spans="1:5" x14ac:dyDescent="0.4">
      <c r="A1660" t="s">
        <v>3386</v>
      </c>
      <c r="B1660" t="s">
        <v>3387</v>
      </c>
      <c r="C1660" t="s">
        <v>56</v>
      </c>
      <c r="E1660" t="s">
        <v>2209</v>
      </c>
    </row>
    <row r="1661" spans="1:5" x14ac:dyDescent="0.4">
      <c r="A1661" t="s">
        <v>3388</v>
      </c>
      <c r="B1661" t="s">
        <v>3389</v>
      </c>
      <c r="C1661" t="s">
        <v>56</v>
      </c>
      <c r="E1661" t="s">
        <v>2209</v>
      </c>
    </row>
    <row r="1662" spans="1:5" x14ac:dyDescent="0.4">
      <c r="A1662" t="s">
        <v>3390</v>
      </c>
      <c r="B1662" t="s">
        <v>3391</v>
      </c>
      <c r="C1662" t="s">
        <v>6</v>
      </c>
      <c r="D1662" t="s">
        <v>16</v>
      </c>
      <c r="E1662" t="s">
        <v>2216</v>
      </c>
    </row>
    <row r="1663" spans="1:5" x14ac:dyDescent="0.4">
      <c r="A1663" t="s">
        <v>3392</v>
      </c>
      <c r="B1663" t="s">
        <v>3393</v>
      </c>
      <c r="C1663" t="s">
        <v>39</v>
      </c>
      <c r="E1663" t="s">
        <v>2216</v>
      </c>
    </row>
    <row r="1664" spans="1:5" x14ac:dyDescent="0.4">
      <c r="A1664" t="s">
        <v>3394</v>
      </c>
      <c r="B1664" t="s">
        <v>3395</v>
      </c>
      <c r="C1664" t="s">
        <v>6</v>
      </c>
      <c r="D1664" t="s">
        <v>7</v>
      </c>
      <c r="E1664" t="s">
        <v>2216</v>
      </c>
    </row>
    <row r="1665" spans="1:5" x14ac:dyDescent="0.4">
      <c r="A1665" t="s">
        <v>3396</v>
      </c>
      <c r="B1665" t="s">
        <v>3397</v>
      </c>
      <c r="C1665" t="s">
        <v>6</v>
      </c>
      <c r="D1665" t="s">
        <v>24</v>
      </c>
      <c r="E1665" t="s">
        <v>2216</v>
      </c>
    </row>
    <row r="1666" spans="1:5" x14ac:dyDescent="0.4">
      <c r="A1666" t="s">
        <v>3398</v>
      </c>
      <c r="B1666" t="s">
        <v>3399</v>
      </c>
      <c r="C1666" t="s">
        <v>6</v>
      </c>
      <c r="D1666" t="s">
        <v>13</v>
      </c>
      <c r="E1666" t="s">
        <v>2216</v>
      </c>
    </row>
    <row r="1667" spans="1:5" x14ac:dyDescent="0.4">
      <c r="A1667" t="s">
        <v>3400</v>
      </c>
      <c r="B1667" t="s">
        <v>3401</v>
      </c>
      <c r="C1667" t="s">
        <v>39</v>
      </c>
      <c r="E1667" t="s">
        <v>2216</v>
      </c>
    </row>
    <row r="1668" spans="1:5" x14ac:dyDescent="0.4">
      <c r="A1668" t="s">
        <v>3402</v>
      </c>
      <c r="B1668" t="s">
        <v>3403</v>
      </c>
      <c r="C1668" t="s">
        <v>6</v>
      </c>
      <c r="D1668" t="s">
        <v>13</v>
      </c>
      <c r="E1668" t="s">
        <v>2216</v>
      </c>
    </row>
    <row r="1669" spans="1:5" x14ac:dyDescent="0.4">
      <c r="A1669" t="s">
        <v>3404</v>
      </c>
      <c r="B1669" t="s">
        <v>3405</v>
      </c>
      <c r="C1669" t="s">
        <v>6</v>
      </c>
      <c r="D1669" t="s">
        <v>36</v>
      </c>
      <c r="E1669" t="s">
        <v>2216</v>
      </c>
    </row>
    <row r="1670" spans="1:5" x14ac:dyDescent="0.4">
      <c r="A1670" t="s">
        <v>3406</v>
      </c>
      <c r="B1670" t="s">
        <v>3407</v>
      </c>
      <c r="C1670" t="s">
        <v>6</v>
      </c>
      <c r="D1670" t="s">
        <v>10</v>
      </c>
      <c r="E1670" t="s">
        <v>2216</v>
      </c>
    </row>
    <row r="1671" spans="1:5" x14ac:dyDescent="0.4">
      <c r="A1671" t="s">
        <v>3408</v>
      </c>
      <c r="B1671" t="s">
        <v>3409</v>
      </c>
      <c r="C1671" t="s">
        <v>56</v>
      </c>
      <c r="E1671" t="s">
        <v>2216</v>
      </c>
    </row>
    <row r="1672" spans="1:5" x14ac:dyDescent="0.4">
      <c r="A1672" t="s">
        <v>3410</v>
      </c>
      <c r="B1672" t="s">
        <v>3411</v>
      </c>
      <c r="C1672" t="s">
        <v>6</v>
      </c>
      <c r="D1672" t="s">
        <v>1126</v>
      </c>
      <c r="E1672" t="s">
        <v>2216</v>
      </c>
    </row>
    <row r="1673" spans="1:5" x14ac:dyDescent="0.4">
      <c r="A1673" t="s">
        <v>3412</v>
      </c>
      <c r="B1673" t="s">
        <v>3413</v>
      </c>
      <c r="C1673" t="s">
        <v>6</v>
      </c>
      <c r="D1673" t="s">
        <v>16</v>
      </c>
      <c r="E1673" t="s">
        <v>2216</v>
      </c>
    </row>
    <row r="1674" spans="1:5" x14ac:dyDescent="0.4">
      <c r="A1674" t="s">
        <v>3414</v>
      </c>
      <c r="B1674" t="s">
        <v>3415</v>
      </c>
      <c r="C1674" t="s">
        <v>56</v>
      </c>
      <c r="E1674" t="s">
        <v>2216</v>
      </c>
    </row>
    <row r="1675" spans="1:5" x14ac:dyDescent="0.4">
      <c r="A1675" t="s">
        <v>3416</v>
      </c>
      <c r="B1675" t="s">
        <v>3417</v>
      </c>
      <c r="C1675" t="s">
        <v>39</v>
      </c>
      <c r="E1675" t="s">
        <v>2216</v>
      </c>
    </row>
    <row r="1676" spans="1:5" x14ac:dyDescent="0.4">
      <c r="A1676" t="s">
        <v>3418</v>
      </c>
      <c r="B1676" t="s">
        <v>3419</v>
      </c>
      <c r="C1676" t="s">
        <v>6</v>
      </c>
      <c r="D1676" t="s">
        <v>13</v>
      </c>
      <c r="E1676" t="s">
        <v>2216</v>
      </c>
    </row>
    <row r="1677" spans="1:5" x14ac:dyDescent="0.4">
      <c r="A1677" t="s">
        <v>3420</v>
      </c>
      <c r="B1677" t="s">
        <v>3421</v>
      </c>
      <c r="C1677" t="s">
        <v>6</v>
      </c>
      <c r="D1677" t="s">
        <v>10</v>
      </c>
      <c r="E1677" t="s">
        <v>2216</v>
      </c>
    </row>
    <row r="1678" spans="1:5" x14ac:dyDescent="0.4">
      <c r="A1678" t="s">
        <v>3422</v>
      </c>
      <c r="B1678" t="s">
        <v>3423</v>
      </c>
      <c r="C1678" t="s">
        <v>6</v>
      </c>
      <c r="D1678" t="s">
        <v>21</v>
      </c>
      <c r="E1678" t="s">
        <v>2216</v>
      </c>
    </row>
    <row r="1679" spans="1:5" x14ac:dyDescent="0.4">
      <c r="A1679" t="s">
        <v>3424</v>
      </c>
      <c r="B1679" t="s">
        <v>3425</v>
      </c>
      <c r="C1679" t="s">
        <v>6</v>
      </c>
      <c r="D1679" t="s">
        <v>24</v>
      </c>
      <c r="E1679" t="s">
        <v>2216</v>
      </c>
    </row>
    <row r="1680" spans="1:5" x14ac:dyDescent="0.4">
      <c r="A1680" t="s">
        <v>3426</v>
      </c>
      <c r="B1680" t="s">
        <v>3427</v>
      </c>
      <c r="C1680" t="s">
        <v>6</v>
      </c>
      <c r="D1680" t="s">
        <v>13</v>
      </c>
      <c r="E1680" t="s">
        <v>2216</v>
      </c>
    </row>
    <row r="1681" spans="1:5" x14ac:dyDescent="0.4">
      <c r="A1681" t="s">
        <v>3428</v>
      </c>
      <c r="B1681" t="s">
        <v>3429</v>
      </c>
      <c r="C1681" t="s">
        <v>6</v>
      </c>
      <c r="D1681" t="s">
        <v>7</v>
      </c>
      <c r="E1681" t="s">
        <v>2216</v>
      </c>
    </row>
    <row r="1682" spans="1:5" x14ac:dyDescent="0.4">
      <c r="A1682" t="s">
        <v>3430</v>
      </c>
      <c r="B1682" t="s">
        <v>3431</v>
      </c>
      <c r="C1682" t="s">
        <v>6</v>
      </c>
      <c r="D1682" t="s">
        <v>13</v>
      </c>
      <c r="E1682" t="s">
        <v>2216</v>
      </c>
    </row>
    <row r="1683" spans="1:5" x14ac:dyDescent="0.4">
      <c r="A1683" t="s">
        <v>3432</v>
      </c>
      <c r="B1683" t="s">
        <v>3433</v>
      </c>
      <c r="C1683" t="s">
        <v>39</v>
      </c>
      <c r="E1683" t="s">
        <v>2216</v>
      </c>
    </row>
    <row r="1684" spans="1:5" x14ac:dyDescent="0.4">
      <c r="A1684" t="s">
        <v>3434</v>
      </c>
      <c r="B1684" t="s">
        <v>3435</v>
      </c>
      <c r="C1684" t="s">
        <v>6</v>
      </c>
      <c r="D1684" t="s">
        <v>27</v>
      </c>
      <c r="E1684" t="s">
        <v>2216</v>
      </c>
    </row>
    <row r="1685" spans="1:5" x14ac:dyDescent="0.4">
      <c r="A1685" t="s">
        <v>3436</v>
      </c>
      <c r="B1685" t="s">
        <v>3437</v>
      </c>
      <c r="C1685" t="s">
        <v>39</v>
      </c>
      <c r="E1685" t="s">
        <v>2216</v>
      </c>
    </row>
    <row r="1686" spans="1:5" x14ac:dyDescent="0.4">
      <c r="A1686" t="s">
        <v>3438</v>
      </c>
      <c r="B1686" t="s">
        <v>3439</v>
      </c>
      <c r="C1686" t="s">
        <v>56</v>
      </c>
      <c r="E1686" t="s">
        <v>2216</v>
      </c>
    </row>
    <row r="1687" spans="1:5" x14ac:dyDescent="0.4">
      <c r="A1687" t="s">
        <v>3440</v>
      </c>
      <c r="B1687" t="s">
        <v>3441</v>
      </c>
      <c r="C1687" t="s">
        <v>6</v>
      </c>
      <c r="D1687" t="s">
        <v>10</v>
      </c>
      <c r="E1687" t="s">
        <v>2216</v>
      </c>
    </row>
    <row r="1688" spans="1:5" x14ac:dyDescent="0.4">
      <c r="A1688" t="s">
        <v>3442</v>
      </c>
      <c r="B1688" t="s">
        <v>3443</v>
      </c>
      <c r="C1688" t="s">
        <v>6</v>
      </c>
      <c r="D1688" t="s">
        <v>7</v>
      </c>
      <c r="E1688" t="s">
        <v>2216</v>
      </c>
    </row>
    <row r="1689" spans="1:5" x14ac:dyDescent="0.4">
      <c r="A1689" t="s">
        <v>3444</v>
      </c>
      <c r="B1689" t="s">
        <v>3445</v>
      </c>
      <c r="C1689" t="s">
        <v>6</v>
      </c>
      <c r="D1689" t="s">
        <v>16</v>
      </c>
      <c r="E1689" t="s">
        <v>2216</v>
      </c>
    </row>
    <row r="1690" spans="1:5" x14ac:dyDescent="0.4">
      <c r="A1690" t="s">
        <v>3446</v>
      </c>
      <c r="B1690" t="s">
        <v>3447</v>
      </c>
      <c r="C1690" t="s">
        <v>6</v>
      </c>
      <c r="D1690" t="s">
        <v>13</v>
      </c>
      <c r="E1690" t="s">
        <v>2216</v>
      </c>
    </row>
    <row r="1691" spans="1:5" x14ac:dyDescent="0.4">
      <c r="A1691" t="s">
        <v>3448</v>
      </c>
      <c r="B1691" t="s">
        <v>3449</v>
      </c>
      <c r="C1691" t="s">
        <v>6</v>
      </c>
      <c r="D1691" t="s">
        <v>30</v>
      </c>
      <c r="E1691" t="s">
        <v>2216</v>
      </c>
    </row>
    <row r="1692" spans="1:5" x14ac:dyDescent="0.4">
      <c r="A1692" t="s">
        <v>3450</v>
      </c>
      <c r="B1692" t="s">
        <v>3451</v>
      </c>
      <c r="C1692" t="s">
        <v>6</v>
      </c>
      <c r="D1692" t="s">
        <v>1126</v>
      </c>
      <c r="E1692" t="s">
        <v>2216</v>
      </c>
    </row>
    <row r="1693" spans="1:5" x14ac:dyDescent="0.4">
      <c r="A1693" t="s">
        <v>3452</v>
      </c>
      <c r="B1693" t="s">
        <v>3453</v>
      </c>
      <c r="C1693" t="s">
        <v>56</v>
      </c>
      <c r="E1693" t="s">
        <v>2216</v>
      </c>
    </row>
    <row r="1694" spans="1:5" x14ac:dyDescent="0.4">
      <c r="A1694" t="s">
        <v>3454</v>
      </c>
      <c r="B1694" t="s">
        <v>3455</v>
      </c>
      <c r="C1694" t="s">
        <v>6</v>
      </c>
      <c r="D1694" t="s">
        <v>33</v>
      </c>
      <c r="E1694" t="s">
        <v>2216</v>
      </c>
    </row>
    <row r="1695" spans="1:5" x14ac:dyDescent="0.4">
      <c r="A1695" t="s">
        <v>3456</v>
      </c>
      <c r="B1695" t="s">
        <v>3457</v>
      </c>
      <c r="C1695" t="s">
        <v>6</v>
      </c>
      <c r="D1695" t="s">
        <v>24</v>
      </c>
      <c r="E1695" t="s">
        <v>2216</v>
      </c>
    </row>
    <row r="1696" spans="1:5" x14ac:dyDescent="0.4">
      <c r="A1696" t="s">
        <v>3458</v>
      </c>
      <c r="B1696" t="s">
        <v>3459</v>
      </c>
      <c r="C1696" t="s">
        <v>6</v>
      </c>
      <c r="D1696" t="s">
        <v>27</v>
      </c>
      <c r="E1696" t="s">
        <v>2216</v>
      </c>
    </row>
    <row r="1697" spans="1:5" x14ac:dyDescent="0.4">
      <c r="A1697" t="s">
        <v>3460</v>
      </c>
      <c r="B1697" t="s">
        <v>3461</v>
      </c>
      <c r="C1697" t="s">
        <v>39</v>
      </c>
      <c r="E1697" t="s">
        <v>2216</v>
      </c>
    </row>
    <row r="1698" spans="1:5" x14ac:dyDescent="0.4">
      <c r="A1698" t="s">
        <v>3462</v>
      </c>
      <c r="B1698" t="s">
        <v>3463</v>
      </c>
      <c r="C1698" t="s">
        <v>39</v>
      </c>
      <c r="E1698" t="s">
        <v>2216</v>
      </c>
    </row>
    <row r="1699" spans="1:5" x14ac:dyDescent="0.4">
      <c r="A1699" t="s">
        <v>3464</v>
      </c>
      <c r="B1699" t="s">
        <v>3465</v>
      </c>
      <c r="C1699" t="s">
        <v>39</v>
      </c>
      <c r="E1699" t="s">
        <v>2216</v>
      </c>
    </row>
    <row r="1700" spans="1:5" x14ac:dyDescent="0.4">
      <c r="A1700" t="s">
        <v>3466</v>
      </c>
      <c r="B1700" t="s">
        <v>3467</v>
      </c>
      <c r="C1700" t="s">
        <v>39</v>
      </c>
      <c r="E1700" t="s">
        <v>2216</v>
      </c>
    </row>
    <row r="1701" spans="1:5" x14ac:dyDescent="0.4">
      <c r="A1701" t="s">
        <v>3468</v>
      </c>
      <c r="B1701" t="s">
        <v>3469</v>
      </c>
      <c r="C1701" t="s">
        <v>39</v>
      </c>
      <c r="E1701" t="s">
        <v>2216</v>
      </c>
    </row>
    <row r="1702" spans="1:5" x14ac:dyDescent="0.4">
      <c r="A1702" t="s">
        <v>3470</v>
      </c>
      <c r="B1702" t="s">
        <v>3471</v>
      </c>
      <c r="C1702" t="s">
        <v>39</v>
      </c>
      <c r="E1702" t="s">
        <v>2216</v>
      </c>
    </row>
    <row r="1703" spans="1:5" x14ac:dyDescent="0.4">
      <c r="A1703" t="s">
        <v>3472</v>
      </c>
      <c r="B1703" t="s">
        <v>3473</v>
      </c>
      <c r="C1703" t="s">
        <v>39</v>
      </c>
      <c r="E1703" t="s">
        <v>2216</v>
      </c>
    </row>
    <row r="1704" spans="1:5" x14ac:dyDescent="0.4">
      <c r="A1704" t="s">
        <v>3474</v>
      </c>
      <c r="B1704" t="s">
        <v>3475</v>
      </c>
      <c r="C1704" t="s">
        <v>39</v>
      </c>
      <c r="E1704" t="s">
        <v>2216</v>
      </c>
    </row>
    <row r="1705" spans="1:5" x14ac:dyDescent="0.4">
      <c r="A1705" t="s">
        <v>3476</v>
      </c>
      <c r="B1705" t="s">
        <v>3477</v>
      </c>
      <c r="C1705" t="s">
        <v>39</v>
      </c>
      <c r="E1705" t="s">
        <v>2216</v>
      </c>
    </row>
    <row r="1706" spans="1:5" x14ac:dyDescent="0.4">
      <c r="A1706" t="s">
        <v>3478</v>
      </c>
      <c r="B1706" t="s">
        <v>3479</v>
      </c>
      <c r="C1706" t="s">
        <v>39</v>
      </c>
      <c r="E1706" t="s">
        <v>2216</v>
      </c>
    </row>
    <row r="1707" spans="1:5" x14ac:dyDescent="0.4">
      <c r="A1707" t="s">
        <v>3480</v>
      </c>
      <c r="B1707" t="s">
        <v>3481</v>
      </c>
      <c r="C1707" t="s">
        <v>56</v>
      </c>
      <c r="E1707" t="s">
        <v>2216</v>
      </c>
    </row>
    <row r="1708" spans="1:5" x14ac:dyDescent="0.4">
      <c r="A1708" t="s">
        <v>3482</v>
      </c>
      <c r="B1708" t="s">
        <v>3483</v>
      </c>
      <c r="C1708" t="s">
        <v>56</v>
      </c>
      <c r="E1708" t="s">
        <v>2216</v>
      </c>
    </row>
    <row r="1709" spans="1:5" x14ac:dyDescent="0.4">
      <c r="A1709" t="s">
        <v>3484</v>
      </c>
      <c r="B1709" t="s">
        <v>3485</v>
      </c>
      <c r="C1709" t="s">
        <v>56</v>
      </c>
      <c r="E1709" t="s">
        <v>2216</v>
      </c>
    </row>
    <row r="1710" spans="1:5" x14ac:dyDescent="0.4">
      <c r="A1710" t="s">
        <v>3486</v>
      </c>
      <c r="B1710" t="s">
        <v>3487</v>
      </c>
      <c r="C1710" t="s">
        <v>6</v>
      </c>
      <c r="D1710" t="s">
        <v>13</v>
      </c>
      <c r="E1710" t="s">
        <v>2216</v>
      </c>
    </row>
    <row r="1711" spans="1:5" x14ac:dyDescent="0.4">
      <c r="A1711" t="s">
        <v>3488</v>
      </c>
      <c r="B1711" t="s">
        <v>3489</v>
      </c>
      <c r="C1711" t="s">
        <v>56</v>
      </c>
      <c r="E1711" t="s">
        <v>2216</v>
      </c>
    </row>
    <row r="1712" spans="1:5" x14ac:dyDescent="0.4">
      <c r="A1712" t="s">
        <v>3490</v>
      </c>
      <c r="B1712" t="s">
        <v>3491</v>
      </c>
      <c r="C1712" t="s">
        <v>39</v>
      </c>
      <c r="E1712" t="s">
        <v>2216</v>
      </c>
    </row>
    <row r="1713" spans="1:5" x14ac:dyDescent="0.4">
      <c r="A1713" t="s">
        <v>3492</v>
      </c>
      <c r="B1713" t="s">
        <v>3493</v>
      </c>
      <c r="C1713" t="s">
        <v>56</v>
      </c>
      <c r="E1713" t="s">
        <v>2216</v>
      </c>
    </row>
    <row r="1714" spans="1:5" x14ac:dyDescent="0.4">
      <c r="A1714" t="s">
        <v>3494</v>
      </c>
      <c r="B1714" t="s">
        <v>3495</v>
      </c>
      <c r="C1714" t="s">
        <v>56</v>
      </c>
      <c r="E1714" t="s">
        <v>2216</v>
      </c>
    </row>
    <row r="1715" spans="1:5" x14ac:dyDescent="0.4">
      <c r="A1715" t="s">
        <v>3496</v>
      </c>
      <c r="B1715" t="s">
        <v>3497</v>
      </c>
      <c r="C1715" t="s">
        <v>56</v>
      </c>
      <c r="E1715" t="s">
        <v>2216</v>
      </c>
    </row>
    <row r="1716" spans="1:5" x14ac:dyDescent="0.4">
      <c r="A1716" t="s">
        <v>3498</v>
      </c>
      <c r="B1716" t="s">
        <v>3499</v>
      </c>
      <c r="C1716" t="s">
        <v>6</v>
      </c>
      <c r="D1716" t="s">
        <v>36</v>
      </c>
      <c r="E1716" t="s">
        <v>2216</v>
      </c>
    </row>
    <row r="1717" spans="1:5" x14ac:dyDescent="0.4">
      <c r="A1717" t="s">
        <v>3500</v>
      </c>
      <c r="B1717" t="s">
        <v>3501</v>
      </c>
      <c r="C1717" t="s">
        <v>6</v>
      </c>
      <c r="D1717" t="s">
        <v>1126</v>
      </c>
      <c r="E1717" t="s">
        <v>2216</v>
      </c>
    </row>
    <row r="1718" spans="1:5" x14ac:dyDescent="0.4">
      <c r="A1718" t="s">
        <v>3502</v>
      </c>
      <c r="B1718" t="s">
        <v>3503</v>
      </c>
      <c r="C1718" t="s">
        <v>6</v>
      </c>
      <c r="D1718" t="s">
        <v>10</v>
      </c>
      <c r="E1718" t="s">
        <v>2216</v>
      </c>
    </row>
    <row r="1719" spans="1:5" x14ac:dyDescent="0.4">
      <c r="A1719" t="s">
        <v>3504</v>
      </c>
      <c r="B1719" t="s">
        <v>3505</v>
      </c>
      <c r="C1719" t="s">
        <v>6</v>
      </c>
      <c r="D1719" t="s">
        <v>16</v>
      </c>
      <c r="E1719" t="s">
        <v>2216</v>
      </c>
    </row>
    <row r="1720" spans="1:5" x14ac:dyDescent="0.4">
      <c r="A1720" t="s">
        <v>3506</v>
      </c>
      <c r="B1720" t="s">
        <v>3507</v>
      </c>
      <c r="C1720" t="s">
        <v>6</v>
      </c>
      <c r="D1720" t="s">
        <v>21</v>
      </c>
      <c r="E1720" t="s">
        <v>2216</v>
      </c>
    </row>
    <row r="1721" spans="1:5" x14ac:dyDescent="0.4">
      <c r="A1721" t="s">
        <v>3508</v>
      </c>
      <c r="B1721" t="s">
        <v>3509</v>
      </c>
      <c r="C1721" t="s">
        <v>6</v>
      </c>
      <c r="D1721" t="s">
        <v>10</v>
      </c>
      <c r="E1721" t="s">
        <v>2216</v>
      </c>
    </row>
    <row r="1722" spans="1:5" x14ac:dyDescent="0.4">
      <c r="A1722" t="s">
        <v>3510</v>
      </c>
      <c r="B1722" t="s">
        <v>3511</v>
      </c>
      <c r="C1722" t="s">
        <v>6</v>
      </c>
      <c r="D1722" t="s">
        <v>24</v>
      </c>
      <c r="E1722" t="s">
        <v>2216</v>
      </c>
    </row>
    <row r="1723" spans="1:5" x14ac:dyDescent="0.4">
      <c r="A1723" t="s">
        <v>3512</v>
      </c>
      <c r="B1723" t="s">
        <v>3513</v>
      </c>
      <c r="C1723" t="s">
        <v>6</v>
      </c>
      <c r="D1723" t="s">
        <v>27</v>
      </c>
      <c r="E1723" t="s">
        <v>2216</v>
      </c>
    </row>
    <row r="1724" spans="1:5" x14ac:dyDescent="0.4">
      <c r="A1724" t="s">
        <v>3514</v>
      </c>
      <c r="B1724" t="s">
        <v>3515</v>
      </c>
      <c r="C1724" t="s">
        <v>6</v>
      </c>
      <c r="D1724" t="s">
        <v>16</v>
      </c>
      <c r="E1724" t="s">
        <v>2216</v>
      </c>
    </row>
    <row r="1725" spans="1:5" x14ac:dyDescent="0.4">
      <c r="A1725" t="s">
        <v>3516</v>
      </c>
      <c r="B1725" t="s">
        <v>3517</v>
      </c>
      <c r="C1725" t="s">
        <v>6</v>
      </c>
      <c r="D1725" t="s">
        <v>13</v>
      </c>
      <c r="E1725" t="s">
        <v>2216</v>
      </c>
    </row>
    <row r="1726" spans="1:5" x14ac:dyDescent="0.4">
      <c r="A1726" t="s">
        <v>3518</v>
      </c>
      <c r="B1726" t="s">
        <v>3519</v>
      </c>
      <c r="C1726" t="s">
        <v>56</v>
      </c>
      <c r="E1726" t="s">
        <v>2216</v>
      </c>
    </row>
    <row r="1727" spans="1:5" x14ac:dyDescent="0.4">
      <c r="A1727" t="s">
        <v>3520</v>
      </c>
      <c r="B1727" t="s">
        <v>3521</v>
      </c>
      <c r="C1727" t="s">
        <v>39</v>
      </c>
      <c r="E1727" t="s">
        <v>2216</v>
      </c>
    </row>
    <row r="1728" spans="1:5" x14ac:dyDescent="0.4">
      <c r="A1728" t="s">
        <v>3522</v>
      </c>
      <c r="B1728" t="s">
        <v>3523</v>
      </c>
      <c r="C1728" t="s">
        <v>39</v>
      </c>
      <c r="E1728" t="s">
        <v>2216</v>
      </c>
    </row>
    <row r="1729" spans="1:5" x14ac:dyDescent="0.4">
      <c r="A1729" t="s">
        <v>3524</v>
      </c>
      <c r="B1729" t="s">
        <v>3525</v>
      </c>
      <c r="C1729" t="s">
        <v>39</v>
      </c>
      <c r="E1729" t="s">
        <v>2216</v>
      </c>
    </row>
    <row r="1730" spans="1:5" x14ac:dyDescent="0.4">
      <c r="A1730" t="s">
        <v>3526</v>
      </c>
      <c r="B1730" t="s">
        <v>3527</v>
      </c>
      <c r="C1730" t="s">
        <v>39</v>
      </c>
      <c r="E1730" t="s">
        <v>2216</v>
      </c>
    </row>
    <row r="1731" spans="1:5" x14ac:dyDescent="0.4">
      <c r="A1731" t="s">
        <v>3528</v>
      </c>
      <c r="B1731" t="s">
        <v>3529</v>
      </c>
      <c r="C1731" t="s">
        <v>39</v>
      </c>
      <c r="E1731" t="s">
        <v>2216</v>
      </c>
    </row>
    <row r="1732" spans="1:5" x14ac:dyDescent="0.4">
      <c r="A1732" t="s">
        <v>3530</v>
      </c>
      <c r="B1732" t="s">
        <v>3531</v>
      </c>
      <c r="C1732" t="s">
        <v>39</v>
      </c>
      <c r="E1732" t="s">
        <v>2216</v>
      </c>
    </row>
    <row r="1733" spans="1:5" x14ac:dyDescent="0.4">
      <c r="A1733" t="s">
        <v>3532</v>
      </c>
      <c r="B1733" t="s">
        <v>3533</v>
      </c>
      <c r="C1733" t="s">
        <v>39</v>
      </c>
      <c r="E1733" t="s">
        <v>2216</v>
      </c>
    </row>
    <row r="1734" spans="1:5" x14ac:dyDescent="0.4">
      <c r="A1734" t="s">
        <v>3534</v>
      </c>
      <c r="B1734" t="s">
        <v>3535</v>
      </c>
      <c r="C1734" t="s">
        <v>39</v>
      </c>
      <c r="E1734" t="s">
        <v>2216</v>
      </c>
    </row>
    <row r="1735" spans="1:5" x14ac:dyDescent="0.4">
      <c r="A1735" t="s">
        <v>3536</v>
      </c>
      <c r="B1735" t="s">
        <v>3537</v>
      </c>
      <c r="C1735" t="s">
        <v>39</v>
      </c>
      <c r="E1735" t="s">
        <v>2216</v>
      </c>
    </row>
    <row r="1736" spans="1:5" x14ac:dyDescent="0.4">
      <c r="A1736" t="s">
        <v>3538</v>
      </c>
      <c r="B1736" t="s">
        <v>3539</v>
      </c>
      <c r="C1736" t="s">
        <v>39</v>
      </c>
      <c r="E1736" t="s">
        <v>2216</v>
      </c>
    </row>
    <row r="1737" spans="1:5" x14ac:dyDescent="0.4">
      <c r="A1737" t="s">
        <v>3540</v>
      </c>
      <c r="B1737" t="s">
        <v>3541</v>
      </c>
      <c r="C1737" t="s">
        <v>39</v>
      </c>
      <c r="E1737" t="s">
        <v>2216</v>
      </c>
    </row>
    <row r="1738" spans="1:5" x14ac:dyDescent="0.4">
      <c r="A1738" t="s">
        <v>3542</v>
      </c>
      <c r="B1738" t="s">
        <v>3543</v>
      </c>
      <c r="C1738" t="s">
        <v>39</v>
      </c>
      <c r="E1738" t="s">
        <v>2216</v>
      </c>
    </row>
    <row r="1739" spans="1:5" x14ac:dyDescent="0.4">
      <c r="A1739" t="s">
        <v>3544</v>
      </c>
      <c r="B1739" t="s">
        <v>3545</v>
      </c>
      <c r="C1739" t="s">
        <v>39</v>
      </c>
      <c r="E1739" t="s">
        <v>2216</v>
      </c>
    </row>
    <row r="1740" spans="1:5" x14ac:dyDescent="0.4">
      <c r="A1740" t="s">
        <v>3546</v>
      </c>
      <c r="B1740" t="s">
        <v>3547</v>
      </c>
      <c r="C1740" t="s">
        <v>39</v>
      </c>
      <c r="E1740" t="s">
        <v>2216</v>
      </c>
    </row>
    <row r="1741" spans="1:5" x14ac:dyDescent="0.4">
      <c r="A1741" t="s">
        <v>3548</v>
      </c>
      <c r="B1741" t="s">
        <v>3549</v>
      </c>
      <c r="C1741" t="s">
        <v>39</v>
      </c>
      <c r="E1741" t="s">
        <v>2216</v>
      </c>
    </row>
    <row r="1742" spans="1:5" x14ac:dyDescent="0.4">
      <c r="A1742" t="s">
        <v>3550</v>
      </c>
      <c r="B1742" t="s">
        <v>3551</v>
      </c>
      <c r="C1742" t="s">
        <v>39</v>
      </c>
      <c r="E1742" t="s">
        <v>2216</v>
      </c>
    </row>
    <row r="1743" spans="1:5" x14ac:dyDescent="0.4">
      <c r="A1743" t="s">
        <v>3552</v>
      </c>
      <c r="B1743" t="s">
        <v>3553</v>
      </c>
      <c r="C1743" t="s">
        <v>39</v>
      </c>
      <c r="E1743" t="s">
        <v>2216</v>
      </c>
    </row>
    <row r="1744" spans="1:5" x14ac:dyDescent="0.4">
      <c r="A1744" t="s">
        <v>3554</v>
      </c>
      <c r="B1744" t="s">
        <v>3555</v>
      </c>
      <c r="C1744" t="s">
        <v>39</v>
      </c>
      <c r="E1744" t="s">
        <v>2216</v>
      </c>
    </row>
    <row r="1745" spans="1:5" x14ac:dyDescent="0.4">
      <c r="A1745" t="s">
        <v>3556</v>
      </c>
      <c r="B1745" t="s">
        <v>3557</v>
      </c>
      <c r="C1745" t="s">
        <v>39</v>
      </c>
      <c r="E1745" t="s">
        <v>2216</v>
      </c>
    </row>
    <row r="1746" spans="1:5" x14ac:dyDescent="0.4">
      <c r="A1746" t="s">
        <v>3558</v>
      </c>
      <c r="B1746" t="s">
        <v>3559</v>
      </c>
      <c r="C1746" t="s">
        <v>56</v>
      </c>
      <c r="E1746" t="s">
        <v>2216</v>
      </c>
    </row>
    <row r="1747" spans="1:5" x14ac:dyDescent="0.4">
      <c r="A1747" t="s">
        <v>3560</v>
      </c>
      <c r="B1747" t="s">
        <v>3561</v>
      </c>
      <c r="C1747" t="s">
        <v>56</v>
      </c>
      <c r="E1747" t="s">
        <v>2216</v>
      </c>
    </row>
    <row r="1748" spans="1:5" x14ac:dyDescent="0.4">
      <c r="A1748" t="s">
        <v>3562</v>
      </c>
      <c r="B1748" t="s">
        <v>3563</v>
      </c>
      <c r="C1748" t="s">
        <v>56</v>
      </c>
      <c r="E1748" t="s">
        <v>2216</v>
      </c>
    </row>
    <row r="1749" spans="1:5" x14ac:dyDescent="0.4">
      <c r="A1749" t="s">
        <v>3564</v>
      </c>
      <c r="B1749" t="s">
        <v>3565</v>
      </c>
      <c r="C1749" t="s">
        <v>56</v>
      </c>
      <c r="E1749" t="s">
        <v>2216</v>
      </c>
    </row>
    <row r="1750" spans="1:5" x14ac:dyDescent="0.4">
      <c r="A1750" t="s">
        <v>3566</v>
      </c>
      <c r="B1750" t="s">
        <v>3567</v>
      </c>
      <c r="C1750" t="s">
        <v>56</v>
      </c>
      <c r="E1750" t="s">
        <v>2216</v>
      </c>
    </row>
    <row r="1751" spans="1:5" x14ac:dyDescent="0.4">
      <c r="A1751" t="s">
        <v>3568</v>
      </c>
      <c r="B1751" t="s">
        <v>3569</v>
      </c>
      <c r="C1751" t="s">
        <v>56</v>
      </c>
      <c r="E1751" t="s">
        <v>2216</v>
      </c>
    </row>
    <row r="1752" spans="1:5" x14ac:dyDescent="0.4">
      <c r="A1752" t="s">
        <v>3570</v>
      </c>
      <c r="B1752" t="s">
        <v>3571</v>
      </c>
      <c r="C1752" t="s">
        <v>56</v>
      </c>
      <c r="E1752" t="s">
        <v>2216</v>
      </c>
    </row>
    <row r="1753" spans="1:5" x14ac:dyDescent="0.4">
      <c r="A1753" t="s">
        <v>3572</v>
      </c>
      <c r="B1753" t="s">
        <v>3573</v>
      </c>
      <c r="C1753" t="s">
        <v>56</v>
      </c>
      <c r="E1753" t="s">
        <v>2216</v>
      </c>
    </row>
    <row r="1754" spans="1:5" x14ac:dyDescent="0.4">
      <c r="A1754" t="s">
        <v>3574</v>
      </c>
      <c r="B1754" t="s">
        <v>3575</v>
      </c>
      <c r="C1754" t="s">
        <v>56</v>
      </c>
      <c r="E1754" t="s">
        <v>2216</v>
      </c>
    </row>
    <row r="1755" spans="1:5" x14ac:dyDescent="0.4">
      <c r="A1755" t="s">
        <v>3576</v>
      </c>
      <c r="B1755" t="s">
        <v>3577</v>
      </c>
      <c r="C1755" t="s">
        <v>56</v>
      </c>
      <c r="E1755" t="s">
        <v>2216</v>
      </c>
    </row>
    <row r="1756" spans="1:5" x14ac:dyDescent="0.4">
      <c r="A1756" t="s">
        <v>3578</v>
      </c>
      <c r="B1756" t="s">
        <v>3579</v>
      </c>
      <c r="C1756" t="s">
        <v>6</v>
      </c>
      <c r="D1756" t="s">
        <v>13</v>
      </c>
      <c r="E1756" t="s">
        <v>2216</v>
      </c>
    </row>
    <row r="1757" spans="1:5" x14ac:dyDescent="0.4">
      <c r="A1757" t="s">
        <v>3580</v>
      </c>
      <c r="B1757" t="s">
        <v>3581</v>
      </c>
      <c r="C1757" t="s">
        <v>6</v>
      </c>
      <c r="D1757" t="s">
        <v>1126</v>
      </c>
      <c r="E1757" t="s">
        <v>2216</v>
      </c>
    </row>
    <row r="1758" spans="1:5" x14ac:dyDescent="0.4">
      <c r="A1758" t="s">
        <v>3582</v>
      </c>
      <c r="B1758" t="s">
        <v>3583</v>
      </c>
      <c r="C1758" t="s">
        <v>6</v>
      </c>
      <c r="D1758" t="s">
        <v>36</v>
      </c>
      <c r="E1758" t="s">
        <v>2216</v>
      </c>
    </row>
    <row r="1759" spans="1:5" x14ac:dyDescent="0.4">
      <c r="A1759" t="s">
        <v>3584</v>
      </c>
      <c r="B1759" t="s">
        <v>3585</v>
      </c>
      <c r="C1759" t="s">
        <v>6</v>
      </c>
      <c r="D1759" t="s">
        <v>10</v>
      </c>
      <c r="E1759" t="s">
        <v>2216</v>
      </c>
    </row>
    <row r="1760" spans="1:5" x14ac:dyDescent="0.4">
      <c r="A1760" t="s">
        <v>3586</v>
      </c>
      <c r="B1760" t="s">
        <v>3587</v>
      </c>
      <c r="C1760" t="s">
        <v>6</v>
      </c>
      <c r="D1760" t="s">
        <v>16</v>
      </c>
      <c r="E1760" t="s">
        <v>2216</v>
      </c>
    </row>
    <row r="1761" spans="1:5" x14ac:dyDescent="0.4">
      <c r="A1761" t="s">
        <v>3588</v>
      </c>
      <c r="B1761" t="s">
        <v>3589</v>
      </c>
      <c r="C1761" t="s">
        <v>6</v>
      </c>
      <c r="D1761" t="s">
        <v>1126</v>
      </c>
      <c r="E1761" t="s">
        <v>2216</v>
      </c>
    </row>
    <row r="1762" spans="1:5" x14ac:dyDescent="0.4">
      <c r="A1762" t="s">
        <v>3590</v>
      </c>
      <c r="B1762" t="s">
        <v>3591</v>
      </c>
      <c r="C1762" t="s">
        <v>6</v>
      </c>
      <c r="D1762" t="s">
        <v>1126</v>
      </c>
      <c r="E1762" t="s">
        <v>2216</v>
      </c>
    </row>
    <row r="1763" spans="1:5" x14ac:dyDescent="0.4">
      <c r="A1763" t="s">
        <v>3592</v>
      </c>
      <c r="B1763" t="s">
        <v>3593</v>
      </c>
      <c r="C1763" t="s">
        <v>6</v>
      </c>
      <c r="D1763" t="s">
        <v>24</v>
      </c>
      <c r="E1763" t="s">
        <v>2216</v>
      </c>
    </row>
    <row r="1764" spans="1:5" x14ac:dyDescent="0.4">
      <c r="A1764" t="s">
        <v>3594</v>
      </c>
      <c r="B1764" t="s">
        <v>3595</v>
      </c>
      <c r="C1764" t="s">
        <v>6</v>
      </c>
      <c r="D1764" t="s">
        <v>21</v>
      </c>
      <c r="E1764" t="s">
        <v>2216</v>
      </c>
    </row>
    <row r="1765" spans="1:5" x14ac:dyDescent="0.4">
      <c r="A1765" t="s">
        <v>3596</v>
      </c>
      <c r="B1765" t="s">
        <v>3597</v>
      </c>
      <c r="C1765" t="s">
        <v>6</v>
      </c>
      <c r="D1765" t="s">
        <v>27</v>
      </c>
      <c r="E1765" t="s">
        <v>2216</v>
      </c>
    </row>
    <row r="1766" spans="1:5" x14ac:dyDescent="0.4">
      <c r="A1766" t="s">
        <v>3598</v>
      </c>
      <c r="B1766" t="s">
        <v>3599</v>
      </c>
      <c r="C1766" t="s">
        <v>39</v>
      </c>
      <c r="E1766" t="s">
        <v>2216</v>
      </c>
    </row>
    <row r="1767" spans="1:5" x14ac:dyDescent="0.4">
      <c r="A1767" t="s">
        <v>3600</v>
      </c>
      <c r="B1767" t="s">
        <v>3601</v>
      </c>
      <c r="C1767" t="s">
        <v>39</v>
      </c>
      <c r="E1767" t="s">
        <v>2216</v>
      </c>
    </row>
    <row r="1768" spans="1:5" x14ac:dyDescent="0.4">
      <c r="A1768" t="s">
        <v>3602</v>
      </c>
      <c r="B1768" t="s">
        <v>3603</v>
      </c>
      <c r="C1768" t="s">
        <v>39</v>
      </c>
      <c r="E1768" t="s">
        <v>2216</v>
      </c>
    </row>
    <row r="1769" spans="1:5" x14ac:dyDescent="0.4">
      <c r="A1769" t="s">
        <v>3604</v>
      </c>
      <c r="B1769" t="s">
        <v>3605</v>
      </c>
      <c r="C1769" t="s">
        <v>39</v>
      </c>
      <c r="E1769" t="s">
        <v>2216</v>
      </c>
    </row>
    <row r="1770" spans="1:5" x14ac:dyDescent="0.4">
      <c r="A1770" t="s">
        <v>3606</v>
      </c>
      <c r="B1770" t="s">
        <v>3607</v>
      </c>
      <c r="C1770" t="s">
        <v>39</v>
      </c>
      <c r="E1770" t="s">
        <v>2216</v>
      </c>
    </row>
    <row r="1771" spans="1:5" x14ac:dyDescent="0.4">
      <c r="A1771" t="s">
        <v>3608</v>
      </c>
      <c r="B1771" t="s">
        <v>3609</v>
      </c>
      <c r="C1771" t="s">
        <v>39</v>
      </c>
      <c r="E1771" t="s">
        <v>2216</v>
      </c>
    </row>
    <row r="1772" spans="1:5" x14ac:dyDescent="0.4">
      <c r="A1772" t="s">
        <v>3610</v>
      </c>
      <c r="B1772" t="s">
        <v>3611</v>
      </c>
      <c r="C1772" t="s">
        <v>39</v>
      </c>
      <c r="E1772" t="s">
        <v>2216</v>
      </c>
    </row>
    <row r="1773" spans="1:5" x14ac:dyDescent="0.4">
      <c r="A1773" t="s">
        <v>3612</v>
      </c>
      <c r="B1773" t="s">
        <v>3613</v>
      </c>
      <c r="C1773" t="s">
        <v>39</v>
      </c>
      <c r="E1773" t="s">
        <v>2216</v>
      </c>
    </row>
    <row r="1774" spans="1:5" x14ac:dyDescent="0.4">
      <c r="A1774" t="s">
        <v>3614</v>
      </c>
      <c r="B1774" t="s">
        <v>3615</v>
      </c>
      <c r="C1774" t="s">
        <v>39</v>
      </c>
      <c r="E1774" t="s">
        <v>2216</v>
      </c>
    </row>
    <row r="1775" spans="1:5" x14ac:dyDescent="0.4">
      <c r="A1775" t="s">
        <v>3616</v>
      </c>
      <c r="B1775" t="s">
        <v>3617</v>
      </c>
      <c r="C1775" t="s">
        <v>39</v>
      </c>
      <c r="E1775" t="s">
        <v>2216</v>
      </c>
    </row>
    <row r="1776" spans="1:5" x14ac:dyDescent="0.4">
      <c r="A1776" t="s">
        <v>3618</v>
      </c>
      <c r="B1776" t="s">
        <v>3619</v>
      </c>
      <c r="C1776" t="s">
        <v>56</v>
      </c>
      <c r="E1776" t="s">
        <v>2216</v>
      </c>
    </row>
    <row r="1777" spans="1:5" x14ac:dyDescent="0.4">
      <c r="A1777" t="s">
        <v>3620</v>
      </c>
      <c r="B1777" t="s">
        <v>3621</v>
      </c>
      <c r="C1777" t="s">
        <v>56</v>
      </c>
      <c r="E1777" t="s">
        <v>2216</v>
      </c>
    </row>
    <row r="1778" spans="1:5" x14ac:dyDescent="0.4">
      <c r="A1778" t="s">
        <v>3622</v>
      </c>
      <c r="B1778" t="s">
        <v>3623</v>
      </c>
      <c r="C1778" t="s">
        <v>56</v>
      </c>
      <c r="E1778" t="s">
        <v>2216</v>
      </c>
    </row>
    <row r="1779" spans="1:5" x14ac:dyDescent="0.4">
      <c r="A1779" t="s">
        <v>3624</v>
      </c>
      <c r="B1779" t="s">
        <v>3625</v>
      </c>
      <c r="C1779" t="s">
        <v>56</v>
      </c>
      <c r="E1779" t="s">
        <v>2216</v>
      </c>
    </row>
    <row r="1780" spans="1:5" x14ac:dyDescent="0.4">
      <c r="A1780" t="s">
        <v>3626</v>
      </c>
      <c r="B1780" t="s">
        <v>3627</v>
      </c>
      <c r="C1780" t="s">
        <v>56</v>
      </c>
      <c r="E1780" t="s">
        <v>2216</v>
      </c>
    </row>
    <row r="1781" spans="1:5" x14ac:dyDescent="0.4">
      <c r="A1781" t="s">
        <v>3628</v>
      </c>
      <c r="B1781" t="s">
        <v>3629</v>
      </c>
      <c r="C1781" t="s">
        <v>56</v>
      </c>
      <c r="E1781" t="s">
        <v>2216</v>
      </c>
    </row>
    <row r="1782" spans="1:5" x14ac:dyDescent="0.4">
      <c r="A1782" t="s">
        <v>3630</v>
      </c>
      <c r="B1782" t="s">
        <v>3631</v>
      </c>
      <c r="C1782" t="s">
        <v>56</v>
      </c>
      <c r="E1782" t="s">
        <v>2216</v>
      </c>
    </row>
    <row r="1783" spans="1:5" x14ac:dyDescent="0.4">
      <c r="A1783" t="s">
        <v>3632</v>
      </c>
      <c r="B1783" t="s">
        <v>3633</v>
      </c>
      <c r="C1783" t="s">
        <v>56</v>
      </c>
      <c r="E1783" t="s">
        <v>2216</v>
      </c>
    </row>
    <row r="1784" spans="1:5" x14ac:dyDescent="0.4">
      <c r="A1784" t="s">
        <v>3634</v>
      </c>
      <c r="B1784" t="s">
        <v>3635</v>
      </c>
      <c r="C1784" t="s">
        <v>56</v>
      </c>
      <c r="E1784" t="s">
        <v>2216</v>
      </c>
    </row>
    <row r="1785" spans="1:5" x14ac:dyDescent="0.4">
      <c r="A1785" t="s">
        <v>3636</v>
      </c>
      <c r="B1785" t="s">
        <v>3637</v>
      </c>
      <c r="C1785" t="s">
        <v>56</v>
      </c>
      <c r="E1785" t="s">
        <v>2216</v>
      </c>
    </row>
    <row r="1786" spans="1:5" x14ac:dyDescent="0.4">
      <c r="A1786" t="s">
        <v>3638</v>
      </c>
      <c r="B1786" t="s">
        <v>3639</v>
      </c>
      <c r="C1786" t="s">
        <v>56</v>
      </c>
      <c r="E1786" t="s">
        <v>2216</v>
      </c>
    </row>
    <row r="1787" spans="1:5" x14ac:dyDescent="0.4">
      <c r="A1787" t="s">
        <v>3640</v>
      </c>
      <c r="B1787" t="s">
        <v>3641</v>
      </c>
      <c r="C1787" t="s">
        <v>39</v>
      </c>
      <c r="E1787" t="s">
        <v>2218</v>
      </c>
    </row>
    <row r="1788" spans="1:5" x14ac:dyDescent="0.4">
      <c r="A1788" t="s">
        <v>3642</v>
      </c>
      <c r="B1788" t="s">
        <v>3643</v>
      </c>
      <c r="C1788" t="s">
        <v>39</v>
      </c>
      <c r="E1788" t="s">
        <v>2218</v>
      </c>
    </row>
    <row r="1789" spans="1:5" x14ac:dyDescent="0.4">
      <c r="A1789" t="s">
        <v>3644</v>
      </c>
      <c r="B1789" t="s">
        <v>3645</v>
      </c>
      <c r="C1789" t="s">
        <v>56</v>
      </c>
      <c r="E1789" t="s">
        <v>2218</v>
      </c>
    </row>
    <row r="1790" spans="1:5" x14ac:dyDescent="0.4">
      <c r="A1790" t="s">
        <v>3646</v>
      </c>
      <c r="B1790" t="s">
        <v>3647</v>
      </c>
      <c r="C1790" t="s">
        <v>56</v>
      </c>
      <c r="E1790" t="s">
        <v>2218</v>
      </c>
    </row>
    <row r="1791" spans="1:5" x14ac:dyDescent="0.4">
      <c r="A1791" t="s">
        <v>3648</v>
      </c>
      <c r="B1791" t="s">
        <v>3649</v>
      </c>
      <c r="C1791" t="s">
        <v>6</v>
      </c>
      <c r="D1791" t="s">
        <v>10</v>
      </c>
      <c r="E1791" t="s">
        <v>2218</v>
      </c>
    </row>
    <row r="1792" spans="1:5" x14ac:dyDescent="0.4">
      <c r="A1792" t="s">
        <v>3650</v>
      </c>
      <c r="B1792" t="s">
        <v>3651</v>
      </c>
      <c r="C1792" t="s">
        <v>6</v>
      </c>
      <c r="D1792" t="s">
        <v>21</v>
      </c>
      <c r="E1792" t="s">
        <v>2218</v>
      </c>
    </row>
    <row r="1793" spans="1:5" x14ac:dyDescent="0.4">
      <c r="A1793" t="s">
        <v>3652</v>
      </c>
      <c r="B1793" t="s">
        <v>3653</v>
      </c>
      <c r="C1793" t="s">
        <v>6</v>
      </c>
      <c r="D1793" t="s">
        <v>16</v>
      </c>
      <c r="E1793" t="s">
        <v>2218</v>
      </c>
    </row>
    <row r="1794" spans="1:5" x14ac:dyDescent="0.4">
      <c r="A1794" t="s">
        <v>3654</v>
      </c>
      <c r="B1794" t="s">
        <v>3655</v>
      </c>
      <c r="C1794" t="s">
        <v>39</v>
      </c>
      <c r="E1794" t="s">
        <v>2218</v>
      </c>
    </row>
    <row r="1795" spans="1:5" x14ac:dyDescent="0.4">
      <c r="A1795" t="s">
        <v>3656</v>
      </c>
      <c r="B1795" t="s">
        <v>3657</v>
      </c>
      <c r="C1795" t="s">
        <v>6</v>
      </c>
      <c r="D1795" t="s">
        <v>30</v>
      </c>
      <c r="E1795" t="s">
        <v>2218</v>
      </c>
    </row>
    <row r="1796" spans="1:5" x14ac:dyDescent="0.4">
      <c r="A1796" t="s">
        <v>3658</v>
      </c>
      <c r="B1796" t="s">
        <v>3659</v>
      </c>
      <c r="C1796" t="s">
        <v>6</v>
      </c>
      <c r="D1796" t="s">
        <v>24</v>
      </c>
      <c r="E1796" t="s">
        <v>2218</v>
      </c>
    </row>
    <row r="1797" spans="1:5" x14ac:dyDescent="0.4">
      <c r="A1797" t="s">
        <v>3660</v>
      </c>
      <c r="B1797" t="s">
        <v>3661</v>
      </c>
      <c r="C1797" t="s">
        <v>39</v>
      </c>
      <c r="E1797" t="s">
        <v>2218</v>
      </c>
    </row>
    <row r="1798" spans="1:5" x14ac:dyDescent="0.4">
      <c r="A1798" t="s">
        <v>3662</v>
      </c>
      <c r="B1798" t="s">
        <v>3663</v>
      </c>
      <c r="C1798" t="s">
        <v>56</v>
      </c>
      <c r="E1798" t="s">
        <v>2218</v>
      </c>
    </row>
    <row r="1799" spans="1:5" x14ac:dyDescent="0.4">
      <c r="A1799" t="s">
        <v>3664</v>
      </c>
      <c r="B1799" t="s">
        <v>3665</v>
      </c>
      <c r="C1799" t="s">
        <v>6</v>
      </c>
      <c r="D1799" t="s">
        <v>10</v>
      </c>
      <c r="E1799" t="s">
        <v>2218</v>
      </c>
    </row>
    <row r="1800" spans="1:5" x14ac:dyDescent="0.4">
      <c r="A1800" t="s">
        <v>3666</v>
      </c>
      <c r="B1800" t="s">
        <v>3667</v>
      </c>
      <c r="C1800" t="s">
        <v>6</v>
      </c>
      <c r="D1800" t="s">
        <v>10</v>
      </c>
      <c r="E1800" t="s">
        <v>2218</v>
      </c>
    </row>
    <row r="1801" spans="1:5" x14ac:dyDescent="0.4">
      <c r="A1801" t="s">
        <v>3668</v>
      </c>
      <c r="B1801" t="s">
        <v>3669</v>
      </c>
      <c r="C1801" t="s">
        <v>39</v>
      </c>
      <c r="E1801" t="s">
        <v>2218</v>
      </c>
    </row>
    <row r="1802" spans="1:5" x14ac:dyDescent="0.4">
      <c r="A1802" t="s">
        <v>3670</v>
      </c>
      <c r="B1802" t="s">
        <v>3671</v>
      </c>
      <c r="C1802" t="s">
        <v>6</v>
      </c>
      <c r="D1802" t="s">
        <v>36</v>
      </c>
      <c r="E1802" t="s">
        <v>2218</v>
      </c>
    </row>
    <row r="1803" spans="1:5" x14ac:dyDescent="0.4">
      <c r="A1803" t="s">
        <v>3672</v>
      </c>
      <c r="B1803" t="s">
        <v>3673</v>
      </c>
      <c r="C1803" t="s">
        <v>56</v>
      </c>
      <c r="E1803" t="s">
        <v>2218</v>
      </c>
    </row>
    <row r="1804" spans="1:5" x14ac:dyDescent="0.4">
      <c r="A1804" t="s">
        <v>3674</v>
      </c>
      <c r="B1804" t="s">
        <v>3675</v>
      </c>
      <c r="C1804" t="s">
        <v>6</v>
      </c>
      <c r="D1804" t="s">
        <v>30</v>
      </c>
      <c r="E1804" t="s">
        <v>2218</v>
      </c>
    </row>
    <row r="1805" spans="1:5" x14ac:dyDescent="0.4">
      <c r="A1805" t="s">
        <v>3676</v>
      </c>
      <c r="B1805" t="s">
        <v>3677</v>
      </c>
      <c r="C1805" t="s">
        <v>6</v>
      </c>
      <c r="D1805" t="s">
        <v>27</v>
      </c>
      <c r="E1805" t="s">
        <v>2218</v>
      </c>
    </row>
    <row r="1806" spans="1:5" x14ac:dyDescent="0.4">
      <c r="A1806" t="s">
        <v>3678</v>
      </c>
      <c r="B1806" t="s">
        <v>3679</v>
      </c>
      <c r="C1806" t="s">
        <v>6</v>
      </c>
      <c r="D1806" t="s">
        <v>33</v>
      </c>
      <c r="E1806" t="s">
        <v>2218</v>
      </c>
    </row>
    <row r="1807" spans="1:5" x14ac:dyDescent="0.4">
      <c r="A1807" t="s">
        <v>3680</v>
      </c>
      <c r="B1807" t="s">
        <v>3681</v>
      </c>
      <c r="C1807" t="s">
        <v>39</v>
      </c>
      <c r="E1807" t="s">
        <v>2218</v>
      </c>
    </row>
    <row r="1808" spans="1:5" x14ac:dyDescent="0.4">
      <c r="A1808" t="s">
        <v>3682</v>
      </c>
      <c r="B1808" t="s">
        <v>3683</v>
      </c>
      <c r="C1808" t="s">
        <v>39</v>
      </c>
      <c r="E1808" t="s">
        <v>2218</v>
      </c>
    </row>
    <row r="1809" spans="1:5" x14ac:dyDescent="0.4">
      <c r="A1809" t="s">
        <v>3684</v>
      </c>
      <c r="B1809" t="s">
        <v>3685</v>
      </c>
      <c r="C1809" t="s">
        <v>56</v>
      </c>
      <c r="E1809" t="s">
        <v>2218</v>
      </c>
    </row>
    <row r="1810" spans="1:5" x14ac:dyDescent="0.4">
      <c r="A1810" t="s">
        <v>3686</v>
      </c>
      <c r="B1810" t="s">
        <v>3687</v>
      </c>
      <c r="C1810" t="s">
        <v>56</v>
      </c>
      <c r="E1810" t="s">
        <v>2218</v>
      </c>
    </row>
    <row r="1811" spans="1:5" x14ac:dyDescent="0.4">
      <c r="A1811" t="s">
        <v>3688</v>
      </c>
      <c r="B1811" t="s">
        <v>3689</v>
      </c>
      <c r="C1811" t="s">
        <v>6</v>
      </c>
      <c r="D1811" t="s">
        <v>7</v>
      </c>
      <c r="E1811" t="s">
        <v>2218</v>
      </c>
    </row>
    <row r="1812" spans="1:5" x14ac:dyDescent="0.4">
      <c r="A1812" t="s">
        <v>3690</v>
      </c>
      <c r="B1812" t="s">
        <v>3691</v>
      </c>
      <c r="C1812" t="s">
        <v>6</v>
      </c>
      <c r="D1812" t="s">
        <v>30</v>
      </c>
      <c r="E1812" t="s">
        <v>2218</v>
      </c>
    </row>
    <row r="1813" spans="1:5" x14ac:dyDescent="0.4">
      <c r="A1813" t="s">
        <v>3692</v>
      </c>
      <c r="B1813" t="s">
        <v>3693</v>
      </c>
      <c r="C1813" t="s">
        <v>6</v>
      </c>
      <c r="D1813" t="s">
        <v>16</v>
      </c>
      <c r="E1813" t="s">
        <v>2209</v>
      </c>
    </row>
    <row r="1814" spans="1:5" x14ac:dyDescent="0.4">
      <c r="A1814" t="s">
        <v>3694</v>
      </c>
      <c r="B1814" t="s">
        <v>3695</v>
      </c>
      <c r="C1814" t="s">
        <v>39</v>
      </c>
      <c r="E1814" t="s">
        <v>2218</v>
      </c>
    </row>
    <row r="1815" spans="1:5" x14ac:dyDescent="0.4">
      <c r="A1815" t="s">
        <v>3696</v>
      </c>
      <c r="B1815" t="s">
        <v>3697</v>
      </c>
      <c r="C1815" t="s">
        <v>6</v>
      </c>
      <c r="D1815" t="s">
        <v>27</v>
      </c>
      <c r="E1815" t="s">
        <v>2218</v>
      </c>
    </row>
    <row r="1816" spans="1:5" x14ac:dyDescent="0.4">
      <c r="A1816" t="s">
        <v>3698</v>
      </c>
      <c r="B1816" t="s">
        <v>3699</v>
      </c>
      <c r="C1816" t="s">
        <v>6</v>
      </c>
      <c r="D1816" t="s">
        <v>10</v>
      </c>
      <c r="E1816" t="s">
        <v>2218</v>
      </c>
    </row>
    <row r="1817" spans="1:5" x14ac:dyDescent="0.4">
      <c r="A1817" t="s">
        <v>3700</v>
      </c>
      <c r="B1817" t="s">
        <v>3701</v>
      </c>
      <c r="C1817" t="s">
        <v>39</v>
      </c>
      <c r="E1817" t="s">
        <v>2218</v>
      </c>
    </row>
    <row r="1818" spans="1:5" x14ac:dyDescent="0.4">
      <c r="A1818" t="s">
        <v>3702</v>
      </c>
      <c r="B1818" t="s">
        <v>3703</v>
      </c>
      <c r="C1818" t="s">
        <v>56</v>
      </c>
      <c r="E1818" t="s">
        <v>2218</v>
      </c>
    </row>
    <row r="1819" spans="1:5" x14ac:dyDescent="0.4">
      <c r="A1819" t="s">
        <v>3704</v>
      </c>
      <c r="B1819" t="s">
        <v>3705</v>
      </c>
      <c r="C1819" t="s">
        <v>39</v>
      </c>
      <c r="E1819" t="s">
        <v>2218</v>
      </c>
    </row>
    <row r="1820" spans="1:5" x14ac:dyDescent="0.4">
      <c r="A1820" t="s">
        <v>3706</v>
      </c>
      <c r="B1820" t="s">
        <v>3707</v>
      </c>
      <c r="C1820" t="s">
        <v>6</v>
      </c>
      <c r="D1820" t="s">
        <v>24</v>
      </c>
      <c r="E1820" t="s">
        <v>2218</v>
      </c>
    </row>
    <row r="1821" spans="1:5" x14ac:dyDescent="0.4">
      <c r="A1821" t="s">
        <v>3708</v>
      </c>
      <c r="B1821" t="s">
        <v>3709</v>
      </c>
      <c r="C1821" t="s">
        <v>6</v>
      </c>
      <c r="D1821" t="s">
        <v>30</v>
      </c>
      <c r="E1821" t="s">
        <v>2218</v>
      </c>
    </row>
    <row r="1822" spans="1:5" x14ac:dyDescent="0.4">
      <c r="A1822" t="s">
        <v>3710</v>
      </c>
      <c r="B1822" t="s">
        <v>3711</v>
      </c>
      <c r="C1822" t="s">
        <v>6</v>
      </c>
      <c r="D1822" t="s">
        <v>33</v>
      </c>
      <c r="E1822" t="s">
        <v>2218</v>
      </c>
    </row>
    <row r="1823" spans="1:5" x14ac:dyDescent="0.4">
      <c r="A1823" t="s">
        <v>3712</v>
      </c>
      <c r="B1823" t="s">
        <v>3713</v>
      </c>
      <c r="C1823" t="s">
        <v>39</v>
      </c>
      <c r="E1823" t="s">
        <v>2218</v>
      </c>
    </row>
    <row r="1824" spans="1:5" x14ac:dyDescent="0.4">
      <c r="A1824" t="s">
        <v>3714</v>
      </c>
      <c r="B1824" t="s">
        <v>3715</v>
      </c>
      <c r="C1824" t="s">
        <v>56</v>
      </c>
      <c r="E1824" t="s">
        <v>2218</v>
      </c>
    </row>
    <row r="1825" spans="1:5" x14ac:dyDescent="0.4">
      <c r="A1825" t="s">
        <v>3716</v>
      </c>
      <c r="B1825" t="s">
        <v>3717</v>
      </c>
      <c r="C1825" t="s">
        <v>6</v>
      </c>
      <c r="D1825" t="s">
        <v>36</v>
      </c>
      <c r="E1825" t="s">
        <v>2218</v>
      </c>
    </row>
    <row r="1826" spans="1:5" x14ac:dyDescent="0.4">
      <c r="A1826" t="s">
        <v>3718</v>
      </c>
      <c r="B1826" t="s">
        <v>3719</v>
      </c>
      <c r="C1826" t="s">
        <v>6</v>
      </c>
      <c r="D1826" t="s">
        <v>10</v>
      </c>
      <c r="E1826" t="s">
        <v>2218</v>
      </c>
    </row>
    <row r="1827" spans="1:5" x14ac:dyDescent="0.4">
      <c r="A1827" t="s">
        <v>3720</v>
      </c>
      <c r="B1827" t="s">
        <v>3721</v>
      </c>
      <c r="C1827" t="s">
        <v>39</v>
      </c>
      <c r="E1827" t="s">
        <v>2218</v>
      </c>
    </row>
    <row r="1828" spans="1:5" x14ac:dyDescent="0.4">
      <c r="A1828" t="s">
        <v>3722</v>
      </c>
      <c r="B1828" t="s">
        <v>3723</v>
      </c>
      <c r="C1828" t="s">
        <v>39</v>
      </c>
      <c r="E1828" t="s">
        <v>2218</v>
      </c>
    </row>
    <row r="1829" spans="1:5" x14ac:dyDescent="0.4">
      <c r="A1829" t="s">
        <v>3724</v>
      </c>
      <c r="B1829" t="s">
        <v>3725</v>
      </c>
      <c r="C1829" t="s">
        <v>56</v>
      </c>
      <c r="E1829" t="s">
        <v>2209</v>
      </c>
    </row>
    <row r="1830" spans="1:5" x14ac:dyDescent="0.4">
      <c r="A1830" t="s">
        <v>3726</v>
      </c>
      <c r="B1830" t="s">
        <v>3727</v>
      </c>
      <c r="C1830" t="s">
        <v>56</v>
      </c>
      <c r="E1830" t="s">
        <v>2218</v>
      </c>
    </row>
    <row r="1831" spans="1:5" x14ac:dyDescent="0.4">
      <c r="A1831" t="s">
        <v>3728</v>
      </c>
      <c r="B1831" t="s">
        <v>3729</v>
      </c>
      <c r="C1831" t="s">
        <v>6</v>
      </c>
      <c r="D1831" t="s">
        <v>10</v>
      </c>
      <c r="E1831" t="s">
        <v>2218</v>
      </c>
    </row>
    <row r="1832" spans="1:5" x14ac:dyDescent="0.4">
      <c r="A1832" t="s">
        <v>3730</v>
      </c>
      <c r="B1832" t="s">
        <v>3731</v>
      </c>
      <c r="C1832" t="s">
        <v>6</v>
      </c>
      <c r="D1832" t="s">
        <v>7</v>
      </c>
      <c r="E1832" t="s">
        <v>2218</v>
      </c>
    </row>
    <row r="1833" spans="1:5" x14ac:dyDescent="0.4">
      <c r="A1833" t="s">
        <v>3732</v>
      </c>
      <c r="B1833" t="s">
        <v>3733</v>
      </c>
      <c r="C1833" t="s">
        <v>6</v>
      </c>
      <c r="D1833" t="s">
        <v>16</v>
      </c>
      <c r="E1833" t="s">
        <v>2209</v>
      </c>
    </row>
    <row r="1834" spans="1:5" x14ac:dyDescent="0.4">
      <c r="A1834" t="s">
        <v>3734</v>
      </c>
      <c r="B1834" t="s">
        <v>3735</v>
      </c>
      <c r="C1834" t="s">
        <v>39</v>
      </c>
      <c r="E1834" t="s">
        <v>2218</v>
      </c>
    </row>
    <row r="1835" spans="1:5" x14ac:dyDescent="0.4">
      <c r="A1835" t="s">
        <v>3736</v>
      </c>
      <c r="B1835" t="s">
        <v>3737</v>
      </c>
      <c r="C1835" t="s">
        <v>6</v>
      </c>
      <c r="D1835" t="s">
        <v>27</v>
      </c>
      <c r="E1835" t="s">
        <v>2218</v>
      </c>
    </row>
    <row r="1836" spans="1:5" x14ac:dyDescent="0.4">
      <c r="A1836" t="s">
        <v>3738</v>
      </c>
      <c r="B1836" t="s">
        <v>3739</v>
      </c>
      <c r="C1836" t="s">
        <v>6</v>
      </c>
      <c r="D1836" t="s">
        <v>30</v>
      </c>
      <c r="E1836" t="s">
        <v>2218</v>
      </c>
    </row>
    <row r="1837" spans="1:5" x14ac:dyDescent="0.4">
      <c r="A1837" t="s">
        <v>3740</v>
      </c>
      <c r="B1837" t="s">
        <v>3741</v>
      </c>
      <c r="C1837" t="s">
        <v>39</v>
      </c>
      <c r="E1837" t="s">
        <v>2218</v>
      </c>
    </row>
    <row r="1838" spans="1:5" x14ac:dyDescent="0.4">
      <c r="A1838" t="s">
        <v>3742</v>
      </c>
      <c r="B1838" t="s">
        <v>3743</v>
      </c>
      <c r="C1838" t="s">
        <v>56</v>
      </c>
      <c r="E1838" t="s">
        <v>2218</v>
      </c>
    </row>
    <row r="1839" spans="1:5" x14ac:dyDescent="0.4">
      <c r="A1839" t="s">
        <v>3744</v>
      </c>
      <c r="B1839" t="s">
        <v>3745</v>
      </c>
      <c r="C1839" t="s">
        <v>6</v>
      </c>
      <c r="D1839" t="s">
        <v>7</v>
      </c>
      <c r="E1839" t="s">
        <v>2218</v>
      </c>
    </row>
    <row r="1840" spans="1:5" x14ac:dyDescent="0.4">
      <c r="A1840" t="s">
        <v>3746</v>
      </c>
      <c r="B1840" t="s">
        <v>3747</v>
      </c>
      <c r="C1840" t="s">
        <v>6</v>
      </c>
      <c r="D1840" t="s">
        <v>24</v>
      </c>
      <c r="E1840" t="s">
        <v>2218</v>
      </c>
    </row>
    <row r="1841" spans="1:5" x14ac:dyDescent="0.4">
      <c r="A1841" t="s">
        <v>3748</v>
      </c>
      <c r="B1841" t="s">
        <v>3749</v>
      </c>
      <c r="C1841" t="s">
        <v>39</v>
      </c>
      <c r="E1841" t="s">
        <v>2218</v>
      </c>
    </row>
    <row r="1842" spans="1:5" x14ac:dyDescent="0.4">
      <c r="A1842" t="s">
        <v>3750</v>
      </c>
      <c r="B1842" t="s">
        <v>3751</v>
      </c>
      <c r="C1842" t="s">
        <v>39</v>
      </c>
      <c r="E1842" t="s">
        <v>2218</v>
      </c>
    </row>
    <row r="1843" spans="1:5" x14ac:dyDescent="0.4">
      <c r="A1843" t="s">
        <v>3752</v>
      </c>
      <c r="B1843" t="s">
        <v>3753</v>
      </c>
      <c r="C1843" t="s">
        <v>56</v>
      </c>
      <c r="E1843" t="s">
        <v>2218</v>
      </c>
    </row>
    <row r="1844" spans="1:5" x14ac:dyDescent="0.4">
      <c r="A1844" t="s">
        <v>3754</v>
      </c>
      <c r="B1844" t="s">
        <v>3755</v>
      </c>
      <c r="C1844" t="s">
        <v>6</v>
      </c>
      <c r="D1844" t="s">
        <v>10</v>
      </c>
      <c r="E1844" t="s">
        <v>2218</v>
      </c>
    </row>
    <row r="1845" spans="1:5" x14ac:dyDescent="0.4">
      <c r="A1845" t="s">
        <v>3756</v>
      </c>
      <c r="B1845" t="s">
        <v>3757</v>
      </c>
      <c r="C1845" t="s">
        <v>6</v>
      </c>
      <c r="D1845" t="s">
        <v>27</v>
      </c>
      <c r="E1845" t="s">
        <v>2218</v>
      </c>
    </row>
    <row r="1846" spans="1:5" x14ac:dyDescent="0.4">
      <c r="A1846" t="s">
        <v>3758</v>
      </c>
      <c r="B1846" t="s">
        <v>3759</v>
      </c>
      <c r="C1846" t="s">
        <v>6</v>
      </c>
      <c r="D1846" t="s">
        <v>30</v>
      </c>
      <c r="E1846" t="s">
        <v>2218</v>
      </c>
    </row>
    <row r="1847" spans="1:5" x14ac:dyDescent="0.4">
      <c r="A1847" t="s">
        <v>3760</v>
      </c>
      <c r="B1847" t="s">
        <v>3761</v>
      </c>
      <c r="C1847" t="s">
        <v>39</v>
      </c>
      <c r="E1847" t="s">
        <v>2218</v>
      </c>
    </row>
    <row r="1848" spans="1:5" x14ac:dyDescent="0.4">
      <c r="A1848" t="s">
        <v>3762</v>
      </c>
      <c r="B1848" t="s">
        <v>3763</v>
      </c>
      <c r="C1848" t="s">
        <v>39</v>
      </c>
      <c r="E1848" t="s">
        <v>2218</v>
      </c>
    </row>
    <row r="1849" spans="1:5" x14ac:dyDescent="0.4">
      <c r="A1849" t="s">
        <v>3764</v>
      </c>
      <c r="B1849" t="s">
        <v>3765</v>
      </c>
      <c r="C1849" t="s">
        <v>56</v>
      </c>
      <c r="E1849" t="s">
        <v>2218</v>
      </c>
    </row>
    <row r="1850" spans="1:5" x14ac:dyDescent="0.4">
      <c r="A1850" t="s">
        <v>3766</v>
      </c>
      <c r="B1850" t="s">
        <v>3767</v>
      </c>
      <c r="C1850" t="s">
        <v>56</v>
      </c>
      <c r="E1850" t="s">
        <v>2218</v>
      </c>
    </row>
    <row r="1851" spans="1:5" x14ac:dyDescent="0.4">
      <c r="A1851" t="s">
        <v>3768</v>
      </c>
      <c r="B1851" t="s">
        <v>3769</v>
      </c>
      <c r="C1851" t="s">
        <v>39</v>
      </c>
      <c r="E1851" t="s">
        <v>2218</v>
      </c>
    </row>
    <row r="1852" spans="1:5" x14ac:dyDescent="0.4">
      <c r="A1852" t="s">
        <v>3770</v>
      </c>
      <c r="B1852" t="s">
        <v>3771</v>
      </c>
      <c r="C1852" t="s">
        <v>6</v>
      </c>
      <c r="D1852" t="s">
        <v>10</v>
      </c>
      <c r="E1852" t="s">
        <v>2218</v>
      </c>
    </row>
    <row r="1853" spans="1:5" x14ac:dyDescent="0.4">
      <c r="A1853" t="s">
        <v>3772</v>
      </c>
      <c r="B1853" t="s">
        <v>3773</v>
      </c>
      <c r="C1853" t="s">
        <v>6</v>
      </c>
      <c r="D1853" t="s">
        <v>16</v>
      </c>
      <c r="E1853" t="s">
        <v>2209</v>
      </c>
    </row>
    <row r="1854" spans="1:5" x14ac:dyDescent="0.4">
      <c r="A1854" t="s">
        <v>5230</v>
      </c>
      <c r="B1854" t="s">
        <v>3774</v>
      </c>
      <c r="C1854" t="s">
        <v>39</v>
      </c>
      <c r="E1854" t="s">
        <v>2218</v>
      </c>
    </row>
    <row r="1855" spans="1:5" x14ac:dyDescent="0.4">
      <c r="A1855" t="s">
        <v>3775</v>
      </c>
      <c r="B1855" t="s">
        <v>3776</v>
      </c>
      <c r="C1855" t="s">
        <v>6</v>
      </c>
      <c r="D1855" t="s">
        <v>13</v>
      </c>
      <c r="E1855" t="s">
        <v>2218</v>
      </c>
    </row>
    <row r="1856" spans="1:5" x14ac:dyDescent="0.4">
      <c r="A1856" t="s">
        <v>3777</v>
      </c>
      <c r="B1856" t="s">
        <v>3778</v>
      </c>
      <c r="C1856" t="s">
        <v>56</v>
      </c>
      <c r="E1856" t="s">
        <v>2218</v>
      </c>
    </row>
    <row r="1857" spans="1:5" x14ac:dyDescent="0.4">
      <c r="A1857" t="s">
        <v>3779</v>
      </c>
      <c r="B1857" t="s">
        <v>3780</v>
      </c>
      <c r="C1857" t="s">
        <v>39</v>
      </c>
      <c r="E1857" t="s">
        <v>2218</v>
      </c>
    </row>
    <row r="1858" spans="1:5" x14ac:dyDescent="0.4">
      <c r="A1858" t="s">
        <v>3781</v>
      </c>
      <c r="B1858" t="s">
        <v>3782</v>
      </c>
      <c r="C1858" t="s">
        <v>6</v>
      </c>
      <c r="D1858" t="s">
        <v>1126</v>
      </c>
      <c r="E1858" t="s">
        <v>2218</v>
      </c>
    </row>
    <row r="1859" spans="1:5" x14ac:dyDescent="0.4">
      <c r="A1859" t="s">
        <v>3783</v>
      </c>
      <c r="B1859" t="s">
        <v>3784</v>
      </c>
      <c r="C1859" t="s">
        <v>6</v>
      </c>
      <c r="D1859" t="s">
        <v>27</v>
      </c>
      <c r="E1859" t="s">
        <v>2218</v>
      </c>
    </row>
    <row r="1860" spans="1:5" x14ac:dyDescent="0.4">
      <c r="A1860" t="s">
        <v>3785</v>
      </c>
      <c r="B1860" t="s">
        <v>3786</v>
      </c>
      <c r="C1860" t="s">
        <v>6</v>
      </c>
      <c r="D1860" t="s">
        <v>36</v>
      </c>
      <c r="E1860" t="s">
        <v>2218</v>
      </c>
    </row>
    <row r="1861" spans="1:5" x14ac:dyDescent="0.4">
      <c r="A1861" t="s">
        <v>3787</v>
      </c>
      <c r="B1861" t="s">
        <v>3788</v>
      </c>
      <c r="C1861" t="s">
        <v>6</v>
      </c>
      <c r="D1861" t="s">
        <v>24</v>
      </c>
      <c r="E1861" t="s">
        <v>2218</v>
      </c>
    </row>
    <row r="1862" spans="1:5" x14ac:dyDescent="0.4">
      <c r="A1862" t="s">
        <v>3789</v>
      </c>
      <c r="B1862" t="s">
        <v>3790</v>
      </c>
      <c r="C1862" t="s">
        <v>39</v>
      </c>
      <c r="E1862" t="s">
        <v>2218</v>
      </c>
    </row>
    <row r="1863" spans="1:5" x14ac:dyDescent="0.4">
      <c r="A1863" t="s">
        <v>3791</v>
      </c>
      <c r="B1863" t="s">
        <v>3792</v>
      </c>
      <c r="C1863" t="s">
        <v>39</v>
      </c>
      <c r="E1863" t="s">
        <v>2218</v>
      </c>
    </row>
    <row r="1864" spans="1:5" x14ac:dyDescent="0.4">
      <c r="A1864" t="s">
        <v>3793</v>
      </c>
      <c r="B1864" t="s">
        <v>3794</v>
      </c>
      <c r="C1864" t="s">
        <v>6</v>
      </c>
      <c r="D1864" t="s">
        <v>10</v>
      </c>
      <c r="E1864" t="s">
        <v>2218</v>
      </c>
    </row>
    <row r="1865" spans="1:5" x14ac:dyDescent="0.4">
      <c r="A1865" t="s">
        <v>3795</v>
      </c>
      <c r="B1865" t="s">
        <v>3796</v>
      </c>
      <c r="C1865" t="s">
        <v>39</v>
      </c>
      <c r="E1865" t="s">
        <v>2218</v>
      </c>
    </row>
    <row r="1866" spans="1:5" x14ac:dyDescent="0.4">
      <c r="A1866" t="s">
        <v>3797</v>
      </c>
      <c r="B1866" t="s">
        <v>3798</v>
      </c>
      <c r="C1866" t="s">
        <v>6</v>
      </c>
      <c r="D1866" t="s">
        <v>30</v>
      </c>
      <c r="E1866" t="s">
        <v>2218</v>
      </c>
    </row>
    <row r="1867" spans="1:5" x14ac:dyDescent="0.4">
      <c r="A1867" t="s">
        <v>3799</v>
      </c>
      <c r="B1867" t="s">
        <v>3800</v>
      </c>
      <c r="C1867" t="s">
        <v>39</v>
      </c>
      <c r="E1867" t="s">
        <v>2218</v>
      </c>
    </row>
    <row r="1868" spans="1:5" x14ac:dyDescent="0.4">
      <c r="A1868" t="s">
        <v>3801</v>
      </c>
      <c r="B1868" t="s">
        <v>3802</v>
      </c>
      <c r="C1868" t="s">
        <v>39</v>
      </c>
      <c r="E1868" t="s">
        <v>2218</v>
      </c>
    </row>
    <row r="1869" spans="1:5" x14ac:dyDescent="0.4">
      <c r="A1869" t="s">
        <v>3803</v>
      </c>
      <c r="B1869" t="s">
        <v>3804</v>
      </c>
      <c r="C1869" t="s">
        <v>56</v>
      </c>
      <c r="E1869" t="s">
        <v>2218</v>
      </c>
    </row>
    <row r="1870" spans="1:5" x14ac:dyDescent="0.4">
      <c r="A1870" t="s">
        <v>3805</v>
      </c>
      <c r="B1870" t="s">
        <v>3806</v>
      </c>
      <c r="C1870" t="s">
        <v>56</v>
      </c>
      <c r="E1870" t="s">
        <v>2218</v>
      </c>
    </row>
    <row r="1871" spans="1:5" x14ac:dyDescent="0.4">
      <c r="A1871" t="s">
        <v>3807</v>
      </c>
      <c r="B1871" t="s">
        <v>3808</v>
      </c>
      <c r="C1871" t="s">
        <v>39</v>
      </c>
      <c r="E1871" t="s">
        <v>2218</v>
      </c>
    </row>
    <row r="1872" spans="1:5" x14ac:dyDescent="0.4">
      <c r="A1872" t="s">
        <v>3809</v>
      </c>
      <c r="B1872" t="s">
        <v>3810</v>
      </c>
      <c r="C1872" t="s">
        <v>6</v>
      </c>
      <c r="D1872" t="s">
        <v>7</v>
      </c>
      <c r="E1872" t="s">
        <v>2218</v>
      </c>
    </row>
    <row r="1873" spans="1:5" x14ac:dyDescent="0.4">
      <c r="A1873" t="s">
        <v>3811</v>
      </c>
      <c r="B1873" t="s">
        <v>3812</v>
      </c>
      <c r="C1873" t="s">
        <v>6</v>
      </c>
      <c r="D1873" t="s">
        <v>10</v>
      </c>
      <c r="E1873" t="s">
        <v>2218</v>
      </c>
    </row>
    <row r="1874" spans="1:5" x14ac:dyDescent="0.4">
      <c r="A1874" t="s">
        <v>3813</v>
      </c>
      <c r="B1874" t="s">
        <v>3814</v>
      </c>
      <c r="C1874" t="s">
        <v>39</v>
      </c>
      <c r="E1874" t="s">
        <v>2218</v>
      </c>
    </row>
    <row r="1875" spans="1:5" x14ac:dyDescent="0.4">
      <c r="A1875" t="s">
        <v>3815</v>
      </c>
      <c r="B1875" t="s">
        <v>3816</v>
      </c>
      <c r="C1875" t="s">
        <v>6</v>
      </c>
      <c r="D1875" t="s">
        <v>30</v>
      </c>
      <c r="E1875" t="s">
        <v>2218</v>
      </c>
    </row>
    <row r="1876" spans="1:5" x14ac:dyDescent="0.4">
      <c r="A1876" t="s">
        <v>3817</v>
      </c>
      <c r="B1876" t="s">
        <v>3818</v>
      </c>
      <c r="C1876" t="s">
        <v>6</v>
      </c>
      <c r="D1876" t="s">
        <v>10</v>
      </c>
      <c r="E1876" t="s">
        <v>2209</v>
      </c>
    </row>
    <row r="1877" spans="1:5" x14ac:dyDescent="0.4">
      <c r="A1877" t="s">
        <v>3819</v>
      </c>
      <c r="B1877" t="s">
        <v>3820</v>
      </c>
      <c r="C1877" t="s">
        <v>39</v>
      </c>
      <c r="E1877" t="s">
        <v>2218</v>
      </c>
    </row>
    <row r="1878" spans="1:5" x14ac:dyDescent="0.4">
      <c r="A1878" t="s">
        <v>3821</v>
      </c>
      <c r="B1878" t="s">
        <v>3822</v>
      </c>
      <c r="C1878" t="s">
        <v>56</v>
      </c>
      <c r="E1878" t="s">
        <v>2218</v>
      </c>
    </row>
    <row r="1879" spans="1:5" x14ac:dyDescent="0.4">
      <c r="A1879" t="s">
        <v>3823</v>
      </c>
      <c r="B1879" t="s">
        <v>3824</v>
      </c>
      <c r="C1879" t="s">
        <v>6</v>
      </c>
      <c r="D1879" t="s">
        <v>24</v>
      </c>
      <c r="E1879" t="s">
        <v>2218</v>
      </c>
    </row>
    <row r="1880" spans="1:5" x14ac:dyDescent="0.4">
      <c r="A1880" t="s">
        <v>3825</v>
      </c>
      <c r="B1880" t="s">
        <v>3826</v>
      </c>
      <c r="C1880" t="s">
        <v>6</v>
      </c>
      <c r="D1880" t="s">
        <v>1126</v>
      </c>
      <c r="E1880" t="s">
        <v>2218</v>
      </c>
    </row>
    <row r="1881" spans="1:5" x14ac:dyDescent="0.4">
      <c r="A1881" t="s">
        <v>3827</v>
      </c>
      <c r="B1881" t="s">
        <v>3828</v>
      </c>
      <c r="C1881" t="s">
        <v>39</v>
      </c>
      <c r="E1881" t="s">
        <v>2218</v>
      </c>
    </row>
    <row r="1882" spans="1:5" x14ac:dyDescent="0.4">
      <c r="A1882" t="s">
        <v>3829</v>
      </c>
      <c r="B1882" t="s">
        <v>3830</v>
      </c>
      <c r="C1882" t="s">
        <v>6</v>
      </c>
      <c r="D1882" t="s">
        <v>30</v>
      </c>
      <c r="E1882" t="s">
        <v>2218</v>
      </c>
    </row>
    <row r="1883" spans="1:5" x14ac:dyDescent="0.4">
      <c r="A1883" t="s">
        <v>3831</v>
      </c>
      <c r="B1883" t="s">
        <v>3832</v>
      </c>
      <c r="C1883" t="s">
        <v>6</v>
      </c>
      <c r="D1883" t="s">
        <v>24</v>
      </c>
      <c r="E1883" t="s">
        <v>2218</v>
      </c>
    </row>
    <row r="1884" spans="1:5" x14ac:dyDescent="0.4">
      <c r="A1884" t="s">
        <v>3833</v>
      </c>
      <c r="B1884" t="s">
        <v>3834</v>
      </c>
      <c r="C1884" t="s">
        <v>6</v>
      </c>
      <c r="D1884" t="s">
        <v>21</v>
      </c>
      <c r="E1884" t="s">
        <v>2209</v>
      </c>
    </row>
    <row r="1885" spans="1:5" x14ac:dyDescent="0.4">
      <c r="A1885" t="s">
        <v>3835</v>
      </c>
      <c r="B1885" t="s">
        <v>3836</v>
      </c>
      <c r="C1885" t="s">
        <v>39</v>
      </c>
      <c r="E1885" t="s">
        <v>2218</v>
      </c>
    </row>
    <row r="1886" spans="1:5" x14ac:dyDescent="0.4">
      <c r="A1886" t="s">
        <v>3837</v>
      </c>
      <c r="B1886" t="s">
        <v>3838</v>
      </c>
      <c r="C1886" t="s">
        <v>56</v>
      </c>
      <c r="E1886" t="s">
        <v>2218</v>
      </c>
    </row>
    <row r="1887" spans="1:5" x14ac:dyDescent="0.4">
      <c r="A1887" t="s">
        <v>3839</v>
      </c>
      <c r="B1887" t="s">
        <v>3840</v>
      </c>
      <c r="C1887" t="s">
        <v>6</v>
      </c>
      <c r="D1887" t="s">
        <v>13</v>
      </c>
      <c r="E1887" t="s">
        <v>2213</v>
      </c>
    </row>
    <row r="1888" spans="1:5" x14ac:dyDescent="0.4">
      <c r="A1888" t="s">
        <v>3841</v>
      </c>
      <c r="B1888" t="s">
        <v>3842</v>
      </c>
      <c r="C1888" t="s">
        <v>6</v>
      </c>
      <c r="D1888" t="s">
        <v>7</v>
      </c>
      <c r="E1888" t="s">
        <v>2213</v>
      </c>
    </row>
    <row r="1889" spans="1:5" x14ac:dyDescent="0.4">
      <c r="A1889" t="s">
        <v>3843</v>
      </c>
      <c r="B1889" t="s">
        <v>3844</v>
      </c>
      <c r="C1889" t="s">
        <v>6</v>
      </c>
      <c r="D1889" t="s">
        <v>36</v>
      </c>
      <c r="E1889" t="s">
        <v>2213</v>
      </c>
    </row>
    <row r="1890" spans="1:5" x14ac:dyDescent="0.4">
      <c r="A1890" t="s">
        <v>3845</v>
      </c>
      <c r="B1890" t="s">
        <v>3846</v>
      </c>
      <c r="C1890" t="s">
        <v>6</v>
      </c>
      <c r="D1890" t="s">
        <v>16</v>
      </c>
      <c r="E1890" t="s">
        <v>2213</v>
      </c>
    </row>
    <row r="1891" spans="1:5" x14ac:dyDescent="0.4">
      <c r="A1891" t="s">
        <v>3847</v>
      </c>
      <c r="B1891" t="s">
        <v>3848</v>
      </c>
      <c r="C1891" t="s">
        <v>6</v>
      </c>
      <c r="D1891" t="s">
        <v>33</v>
      </c>
      <c r="E1891" t="s">
        <v>2213</v>
      </c>
    </row>
    <row r="1892" spans="1:5" x14ac:dyDescent="0.4">
      <c r="A1892" t="s">
        <v>3849</v>
      </c>
      <c r="B1892" t="s">
        <v>3850</v>
      </c>
      <c r="C1892" t="s">
        <v>39</v>
      </c>
      <c r="E1892" t="s">
        <v>2213</v>
      </c>
    </row>
    <row r="1893" spans="1:5" x14ac:dyDescent="0.4">
      <c r="A1893" t="s">
        <v>3851</v>
      </c>
      <c r="B1893" t="s">
        <v>3852</v>
      </c>
      <c r="C1893" t="s">
        <v>39</v>
      </c>
      <c r="E1893" t="s">
        <v>2213</v>
      </c>
    </row>
    <row r="1894" spans="1:5" x14ac:dyDescent="0.4">
      <c r="A1894" t="s">
        <v>3853</v>
      </c>
      <c r="B1894" t="s">
        <v>3854</v>
      </c>
      <c r="C1894" t="s">
        <v>39</v>
      </c>
      <c r="E1894" t="s">
        <v>2213</v>
      </c>
    </row>
    <row r="1895" spans="1:5" x14ac:dyDescent="0.4">
      <c r="A1895" t="s">
        <v>3855</v>
      </c>
      <c r="B1895" t="s">
        <v>3856</v>
      </c>
      <c r="C1895" t="s">
        <v>39</v>
      </c>
      <c r="E1895" t="s">
        <v>2213</v>
      </c>
    </row>
    <row r="1896" spans="1:5" x14ac:dyDescent="0.4">
      <c r="A1896" t="s">
        <v>3857</v>
      </c>
      <c r="B1896" t="s">
        <v>3858</v>
      </c>
      <c r="C1896" t="s">
        <v>39</v>
      </c>
      <c r="E1896" t="s">
        <v>2213</v>
      </c>
    </row>
    <row r="1897" spans="1:5" x14ac:dyDescent="0.4">
      <c r="A1897" t="s">
        <v>3859</v>
      </c>
      <c r="B1897" t="s">
        <v>3860</v>
      </c>
      <c r="C1897" t="s">
        <v>56</v>
      </c>
      <c r="E1897" t="s">
        <v>2213</v>
      </c>
    </row>
    <row r="1898" spans="1:5" x14ac:dyDescent="0.4">
      <c r="A1898" t="s">
        <v>3861</v>
      </c>
      <c r="B1898" t="s">
        <v>3862</v>
      </c>
      <c r="C1898" t="s">
        <v>56</v>
      </c>
      <c r="E1898" t="s">
        <v>2213</v>
      </c>
    </row>
    <row r="1899" spans="1:5" x14ac:dyDescent="0.4">
      <c r="A1899" t="s">
        <v>3863</v>
      </c>
      <c r="B1899" t="s">
        <v>3864</v>
      </c>
      <c r="C1899" t="s">
        <v>56</v>
      </c>
      <c r="E1899" t="s">
        <v>2213</v>
      </c>
    </row>
    <row r="1900" spans="1:5" x14ac:dyDescent="0.4">
      <c r="A1900" t="s">
        <v>3865</v>
      </c>
      <c r="B1900" t="s">
        <v>3866</v>
      </c>
      <c r="C1900" t="s">
        <v>56</v>
      </c>
      <c r="E1900" t="s">
        <v>2213</v>
      </c>
    </row>
    <row r="1901" spans="1:5" x14ac:dyDescent="0.4">
      <c r="A1901" t="s">
        <v>3867</v>
      </c>
      <c r="B1901" t="s">
        <v>3868</v>
      </c>
      <c r="C1901" t="s">
        <v>56</v>
      </c>
      <c r="E1901" t="s">
        <v>2213</v>
      </c>
    </row>
    <row r="1902" spans="1:5" x14ac:dyDescent="0.4">
      <c r="A1902" t="s">
        <v>3869</v>
      </c>
      <c r="B1902" t="s">
        <v>3870</v>
      </c>
      <c r="C1902" t="s">
        <v>6</v>
      </c>
      <c r="D1902" t="s">
        <v>13</v>
      </c>
      <c r="E1902" t="s">
        <v>2213</v>
      </c>
    </row>
    <row r="1903" spans="1:5" x14ac:dyDescent="0.4">
      <c r="A1903" t="s">
        <v>3871</v>
      </c>
      <c r="B1903" t="s">
        <v>3872</v>
      </c>
      <c r="C1903" t="s">
        <v>6</v>
      </c>
      <c r="D1903" t="s">
        <v>10</v>
      </c>
      <c r="E1903" t="s">
        <v>2213</v>
      </c>
    </row>
    <row r="1904" spans="1:5" x14ac:dyDescent="0.4">
      <c r="A1904" t="s">
        <v>3873</v>
      </c>
      <c r="B1904" t="s">
        <v>3874</v>
      </c>
      <c r="C1904" t="s">
        <v>6</v>
      </c>
      <c r="D1904" t="s">
        <v>7</v>
      </c>
      <c r="E1904" t="s">
        <v>2213</v>
      </c>
    </row>
    <row r="1905" spans="1:5" x14ac:dyDescent="0.4">
      <c r="A1905" t="s">
        <v>3875</v>
      </c>
      <c r="B1905" t="s">
        <v>3876</v>
      </c>
      <c r="C1905" t="s">
        <v>6</v>
      </c>
      <c r="D1905" t="s">
        <v>27</v>
      </c>
      <c r="E1905" t="s">
        <v>2213</v>
      </c>
    </row>
    <row r="1906" spans="1:5" x14ac:dyDescent="0.4">
      <c r="A1906" t="s">
        <v>3877</v>
      </c>
      <c r="B1906" t="s">
        <v>3878</v>
      </c>
      <c r="C1906" t="s">
        <v>6</v>
      </c>
      <c r="D1906" t="s">
        <v>21</v>
      </c>
      <c r="E1906" t="s">
        <v>2213</v>
      </c>
    </row>
    <row r="1907" spans="1:5" x14ac:dyDescent="0.4">
      <c r="A1907" t="s">
        <v>3879</v>
      </c>
      <c r="B1907" t="s">
        <v>3880</v>
      </c>
      <c r="C1907" t="s">
        <v>39</v>
      </c>
      <c r="E1907" t="s">
        <v>2213</v>
      </c>
    </row>
    <row r="1908" spans="1:5" x14ac:dyDescent="0.4">
      <c r="A1908" t="s">
        <v>3881</v>
      </c>
      <c r="B1908" t="s">
        <v>3882</v>
      </c>
      <c r="C1908" t="s">
        <v>39</v>
      </c>
      <c r="E1908" t="s">
        <v>2213</v>
      </c>
    </row>
    <row r="1909" spans="1:5" x14ac:dyDescent="0.4">
      <c r="A1909" t="s">
        <v>3883</v>
      </c>
      <c r="B1909" t="s">
        <v>3884</v>
      </c>
      <c r="C1909" t="s">
        <v>39</v>
      </c>
      <c r="E1909" t="s">
        <v>2213</v>
      </c>
    </row>
    <row r="1910" spans="1:5" x14ac:dyDescent="0.4">
      <c r="A1910" t="s">
        <v>3885</v>
      </c>
      <c r="B1910" t="s">
        <v>3886</v>
      </c>
      <c r="C1910" t="s">
        <v>39</v>
      </c>
      <c r="E1910" t="s">
        <v>2213</v>
      </c>
    </row>
    <row r="1911" spans="1:5" x14ac:dyDescent="0.4">
      <c r="A1911" t="s">
        <v>3887</v>
      </c>
      <c r="B1911" t="s">
        <v>3888</v>
      </c>
      <c r="C1911" t="s">
        <v>39</v>
      </c>
      <c r="E1911" t="s">
        <v>2213</v>
      </c>
    </row>
    <row r="1912" spans="1:5" x14ac:dyDescent="0.4">
      <c r="A1912" t="s">
        <v>3889</v>
      </c>
      <c r="B1912" t="s">
        <v>3890</v>
      </c>
      <c r="C1912" t="s">
        <v>56</v>
      </c>
      <c r="E1912" t="s">
        <v>2213</v>
      </c>
    </row>
    <row r="1913" spans="1:5" x14ac:dyDescent="0.4">
      <c r="A1913" t="s">
        <v>3891</v>
      </c>
      <c r="B1913" t="s">
        <v>3892</v>
      </c>
      <c r="C1913" t="s">
        <v>39</v>
      </c>
      <c r="E1913" t="s">
        <v>2213</v>
      </c>
    </row>
    <row r="1914" spans="1:5" x14ac:dyDescent="0.4">
      <c r="A1914" t="s">
        <v>3893</v>
      </c>
      <c r="B1914" t="s">
        <v>3894</v>
      </c>
      <c r="C1914" t="s">
        <v>56</v>
      </c>
      <c r="E1914" t="s">
        <v>2213</v>
      </c>
    </row>
    <row r="1915" spans="1:5" x14ac:dyDescent="0.4">
      <c r="A1915" t="s">
        <v>3895</v>
      </c>
      <c r="B1915" t="s">
        <v>3896</v>
      </c>
      <c r="C1915" t="s">
        <v>56</v>
      </c>
      <c r="E1915" t="s">
        <v>2213</v>
      </c>
    </row>
    <row r="1916" spans="1:5" x14ac:dyDescent="0.4">
      <c r="A1916" t="s">
        <v>3897</v>
      </c>
      <c r="B1916" t="s">
        <v>3898</v>
      </c>
      <c r="C1916" t="s">
        <v>56</v>
      </c>
      <c r="E1916" t="s">
        <v>2213</v>
      </c>
    </row>
    <row r="1917" spans="1:5" x14ac:dyDescent="0.4">
      <c r="A1917" t="s">
        <v>3899</v>
      </c>
      <c r="B1917" t="s">
        <v>3900</v>
      </c>
      <c r="C1917" t="s">
        <v>6</v>
      </c>
      <c r="D1917" t="s">
        <v>13</v>
      </c>
      <c r="E1917" t="s">
        <v>2213</v>
      </c>
    </row>
    <row r="1918" spans="1:5" x14ac:dyDescent="0.4">
      <c r="A1918" t="s">
        <v>3901</v>
      </c>
      <c r="B1918" t="s">
        <v>3902</v>
      </c>
      <c r="C1918" t="s">
        <v>6</v>
      </c>
      <c r="D1918" t="s">
        <v>16</v>
      </c>
      <c r="E1918" t="s">
        <v>2213</v>
      </c>
    </row>
    <row r="1919" spans="1:5" x14ac:dyDescent="0.4">
      <c r="A1919" t="s">
        <v>3903</v>
      </c>
      <c r="B1919" t="s">
        <v>3904</v>
      </c>
      <c r="C1919" t="s">
        <v>6</v>
      </c>
      <c r="D1919" t="s">
        <v>13</v>
      </c>
      <c r="E1919" t="s">
        <v>2213</v>
      </c>
    </row>
    <row r="1920" spans="1:5" x14ac:dyDescent="0.4">
      <c r="A1920" t="s">
        <v>3905</v>
      </c>
      <c r="B1920" t="s">
        <v>3906</v>
      </c>
      <c r="C1920" t="s">
        <v>6</v>
      </c>
      <c r="D1920" t="s">
        <v>10</v>
      </c>
      <c r="E1920" t="s">
        <v>2213</v>
      </c>
    </row>
    <row r="1921" spans="1:5" x14ac:dyDescent="0.4">
      <c r="A1921" t="s">
        <v>3907</v>
      </c>
      <c r="B1921" t="s">
        <v>3908</v>
      </c>
      <c r="C1921" t="s">
        <v>6</v>
      </c>
      <c r="D1921" t="s">
        <v>21</v>
      </c>
      <c r="E1921" t="s">
        <v>2213</v>
      </c>
    </row>
    <row r="1922" spans="1:5" x14ac:dyDescent="0.4">
      <c r="A1922" t="s">
        <v>3909</v>
      </c>
      <c r="B1922" t="s">
        <v>3910</v>
      </c>
      <c r="C1922" t="s">
        <v>39</v>
      </c>
      <c r="E1922" t="s">
        <v>2213</v>
      </c>
    </row>
    <row r="1923" spans="1:5" x14ac:dyDescent="0.4">
      <c r="A1923" t="s">
        <v>3911</v>
      </c>
      <c r="B1923" t="s">
        <v>3912</v>
      </c>
      <c r="C1923" t="s">
        <v>39</v>
      </c>
      <c r="E1923" t="s">
        <v>2213</v>
      </c>
    </row>
    <row r="1924" spans="1:5" x14ac:dyDescent="0.4">
      <c r="A1924" t="s">
        <v>3913</v>
      </c>
      <c r="B1924" t="s">
        <v>3914</v>
      </c>
      <c r="C1924" t="s">
        <v>39</v>
      </c>
      <c r="E1924" t="s">
        <v>2213</v>
      </c>
    </row>
    <row r="1925" spans="1:5" x14ac:dyDescent="0.4">
      <c r="A1925" t="s">
        <v>3915</v>
      </c>
      <c r="B1925" t="s">
        <v>3916</v>
      </c>
      <c r="C1925" t="s">
        <v>39</v>
      </c>
      <c r="E1925" t="s">
        <v>2213</v>
      </c>
    </row>
    <row r="1926" spans="1:5" x14ac:dyDescent="0.4">
      <c r="A1926" t="s">
        <v>3917</v>
      </c>
      <c r="B1926" t="s">
        <v>3918</v>
      </c>
      <c r="C1926" t="s">
        <v>39</v>
      </c>
      <c r="E1926" t="s">
        <v>2213</v>
      </c>
    </row>
    <row r="1927" spans="1:5" x14ac:dyDescent="0.4">
      <c r="A1927" t="s">
        <v>3919</v>
      </c>
      <c r="B1927" t="s">
        <v>3920</v>
      </c>
      <c r="C1927" t="s">
        <v>39</v>
      </c>
      <c r="E1927" t="s">
        <v>2213</v>
      </c>
    </row>
    <row r="1928" spans="1:5" x14ac:dyDescent="0.4">
      <c r="A1928" t="s">
        <v>3921</v>
      </c>
      <c r="B1928" t="s">
        <v>3922</v>
      </c>
      <c r="C1928" t="s">
        <v>56</v>
      </c>
      <c r="E1928" t="s">
        <v>2213</v>
      </c>
    </row>
    <row r="1929" spans="1:5" x14ac:dyDescent="0.4">
      <c r="A1929" t="s">
        <v>3923</v>
      </c>
      <c r="B1929" t="s">
        <v>3924</v>
      </c>
      <c r="C1929" t="s">
        <v>56</v>
      </c>
      <c r="E1929" t="s">
        <v>2213</v>
      </c>
    </row>
    <row r="1930" spans="1:5" x14ac:dyDescent="0.4">
      <c r="A1930" t="s">
        <v>3925</v>
      </c>
      <c r="B1930" t="s">
        <v>3926</v>
      </c>
      <c r="C1930" t="s">
        <v>56</v>
      </c>
      <c r="E1930" t="s">
        <v>2213</v>
      </c>
    </row>
    <row r="1931" spans="1:5" x14ac:dyDescent="0.4">
      <c r="A1931" t="s">
        <v>3927</v>
      </c>
      <c r="B1931" t="s">
        <v>3928</v>
      </c>
      <c r="C1931" t="s">
        <v>39</v>
      </c>
      <c r="E1931" t="s">
        <v>2213</v>
      </c>
    </row>
    <row r="1932" spans="1:5" x14ac:dyDescent="0.4">
      <c r="A1932" t="s">
        <v>3929</v>
      </c>
      <c r="B1932" t="s">
        <v>3930</v>
      </c>
      <c r="C1932" t="s">
        <v>6</v>
      </c>
      <c r="D1932" t="s">
        <v>13</v>
      </c>
      <c r="E1932" t="s">
        <v>2213</v>
      </c>
    </row>
    <row r="1933" spans="1:5" x14ac:dyDescent="0.4">
      <c r="A1933" t="s">
        <v>3931</v>
      </c>
      <c r="B1933" t="s">
        <v>3932</v>
      </c>
      <c r="C1933" t="s">
        <v>6</v>
      </c>
      <c r="D1933" t="s">
        <v>10</v>
      </c>
      <c r="E1933" t="s">
        <v>2213</v>
      </c>
    </row>
    <row r="1934" spans="1:5" x14ac:dyDescent="0.4">
      <c r="A1934" t="s">
        <v>3933</v>
      </c>
      <c r="B1934" t="s">
        <v>3934</v>
      </c>
      <c r="C1934" t="s">
        <v>6</v>
      </c>
      <c r="D1934" t="s">
        <v>7</v>
      </c>
      <c r="E1934" t="s">
        <v>2213</v>
      </c>
    </row>
    <row r="1935" spans="1:5" x14ac:dyDescent="0.4">
      <c r="A1935" t="s">
        <v>3935</v>
      </c>
      <c r="B1935" t="s">
        <v>3936</v>
      </c>
      <c r="C1935" t="s">
        <v>6</v>
      </c>
      <c r="D1935" t="s">
        <v>36</v>
      </c>
      <c r="E1935" t="s">
        <v>2213</v>
      </c>
    </row>
    <row r="1936" spans="1:5" x14ac:dyDescent="0.4">
      <c r="A1936" t="s">
        <v>3937</v>
      </c>
      <c r="B1936" t="s">
        <v>3938</v>
      </c>
      <c r="C1936" t="s">
        <v>6</v>
      </c>
      <c r="D1936" t="s">
        <v>30</v>
      </c>
      <c r="E1936" t="s">
        <v>2213</v>
      </c>
    </row>
    <row r="1937" spans="1:5" x14ac:dyDescent="0.4">
      <c r="A1937" t="s">
        <v>3939</v>
      </c>
      <c r="B1937" t="s">
        <v>3940</v>
      </c>
      <c r="C1937" t="s">
        <v>39</v>
      </c>
      <c r="E1937" t="s">
        <v>2213</v>
      </c>
    </row>
    <row r="1938" spans="1:5" x14ac:dyDescent="0.4">
      <c r="A1938" t="s">
        <v>3941</v>
      </c>
      <c r="B1938" t="s">
        <v>3942</v>
      </c>
      <c r="C1938" t="s">
        <v>39</v>
      </c>
      <c r="E1938" t="s">
        <v>2213</v>
      </c>
    </row>
    <row r="1939" spans="1:5" x14ac:dyDescent="0.4">
      <c r="A1939" t="s">
        <v>3943</v>
      </c>
      <c r="B1939" t="s">
        <v>3944</v>
      </c>
      <c r="C1939" t="s">
        <v>39</v>
      </c>
      <c r="E1939" t="s">
        <v>2213</v>
      </c>
    </row>
    <row r="1940" spans="1:5" x14ac:dyDescent="0.4">
      <c r="A1940" t="s">
        <v>3945</v>
      </c>
      <c r="B1940" t="s">
        <v>3946</v>
      </c>
      <c r="C1940" t="s">
        <v>39</v>
      </c>
      <c r="E1940" t="s">
        <v>2213</v>
      </c>
    </row>
    <row r="1941" spans="1:5" x14ac:dyDescent="0.4">
      <c r="A1941" t="s">
        <v>3947</v>
      </c>
      <c r="B1941" t="s">
        <v>3948</v>
      </c>
      <c r="C1941" t="s">
        <v>39</v>
      </c>
      <c r="E1941" t="s">
        <v>2213</v>
      </c>
    </row>
    <row r="1942" spans="1:5" x14ac:dyDescent="0.4">
      <c r="A1942" t="s">
        <v>3949</v>
      </c>
      <c r="B1942" t="s">
        <v>3950</v>
      </c>
      <c r="C1942" t="s">
        <v>56</v>
      </c>
      <c r="E1942" t="s">
        <v>2213</v>
      </c>
    </row>
    <row r="1943" spans="1:5" x14ac:dyDescent="0.4">
      <c r="A1943" t="s">
        <v>3951</v>
      </c>
      <c r="B1943" t="s">
        <v>3952</v>
      </c>
      <c r="C1943" t="s">
        <v>56</v>
      </c>
      <c r="E1943" t="s">
        <v>2213</v>
      </c>
    </row>
    <row r="1944" spans="1:5" x14ac:dyDescent="0.4">
      <c r="A1944" t="s">
        <v>3953</v>
      </c>
      <c r="B1944" t="s">
        <v>3954</v>
      </c>
      <c r="C1944" t="s">
        <v>56</v>
      </c>
      <c r="E1944" t="s">
        <v>2213</v>
      </c>
    </row>
    <row r="1945" spans="1:5" x14ac:dyDescent="0.4">
      <c r="A1945" t="s">
        <v>3955</v>
      </c>
      <c r="B1945" t="s">
        <v>3956</v>
      </c>
      <c r="C1945" t="s">
        <v>56</v>
      </c>
      <c r="E1945" t="s">
        <v>2213</v>
      </c>
    </row>
    <row r="1946" spans="1:5" x14ac:dyDescent="0.4">
      <c r="A1946" t="s">
        <v>3957</v>
      </c>
      <c r="B1946" t="s">
        <v>3958</v>
      </c>
      <c r="C1946" t="s">
        <v>56</v>
      </c>
      <c r="E1946" t="s">
        <v>2213</v>
      </c>
    </row>
    <row r="1947" spans="1:5" x14ac:dyDescent="0.4">
      <c r="A1947" t="s">
        <v>3959</v>
      </c>
      <c r="B1947" t="s">
        <v>3960</v>
      </c>
      <c r="C1947" t="s">
        <v>6</v>
      </c>
      <c r="D1947" t="s">
        <v>13</v>
      </c>
      <c r="E1947" t="s">
        <v>2213</v>
      </c>
    </row>
    <row r="1948" spans="1:5" x14ac:dyDescent="0.4">
      <c r="A1948" t="s">
        <v>3961</v>
      </c>
      <c r="B1948" t="s">
        <v>3962</v>
      </c>
      <c r="C1948" t="s">
        <v>6</v>
      </c>
      <c r="D1948" t="s">
        <v>10</v>
      </c>
      <c r="E1948" t="s">
        <v>2213</v>
      </c>
    </row>
    <row r="1949" spans="1:5" x14ac:dyDescent="0.4">
      <c r="A1949" t="s">
        <v>3963</v>
      </c>
      <c r="B1949" t="s">
        <v>3964</v>
      </c>
      <c r="C1949" t="s">
        <v>6</v>
      </c>
      <c r="D1949" t="s">
        <v>7</v>
      </c>
      <c r="E1949" t="s">
        <v>2213</v>
      </c>
    </row>
    <row r="1950" spans="1:5" x14ac:dyDescent="0.4">
      <c r="A1950" t="s">
        <v>3965</v>
      </c>
      <c r="B1950" t="s">
        <v>3966</v>
      </c>
      <c r="C1950" t="s">
        <v>6</v>
      </c>
      <c r="D1950" t="s">
        <v>36</v>
      </c>
      <c r="E1950" t="s">
        <v>2213</v>
      </c>
    </row>
    <row r="1951" spans="1:5" x14ac:dyDescent="0.4">
      <c r="A1951" t="s">
        <v>3967</v>
      </c>
      <c r="B1951" t="s">
        <v>3968</v>
      </c>
      <c r="C1951" t="s">
        <v>6</v>
      </c>
      <c r="D1951" t="s">
        <v>30</v>
      </c>
      <c r="E1951" t="s">
        <v>2213</v>
      </c>
    </row>
    <row r="1952" spans="1:5" x14ac:dyDescent="0.4">
      <c r="A1952" t="s">
        <v>3969</v>
      </c>
      <c r="B1952" t="s">
        <v>3970</v>
      </c>
      <c r="C1952" t="s">
        <v>39</v>
      </c>
      <c r="E1952" t="s">
        <v>2213</v>
      </c>
    </row>
    <row r="1953" spans="1:5" x14ac:dyDescent="0.4">
      <c r="A1953" t="s">
        <v>3971</v>
      </c>
      <c r="B1953" t="s">
        <v>3972</v>
      </c>
      <c r="C1953" t="s">
        <v>39</v>
      </c>
      <c r="E1953" t="s">
        <v>2213</v>
      </c>
    </row>
    <row r="1954" spans="1:5" x14ac:dyDescent="0.4">
      <c r="A1954" t="s">
        <v>3973</v>
      </c>
      <c r="B1954" t="s">
        <v>3974</v>
      </c>
      <c r="C1954" t="s">
        <v>39</v>
      </c>
      <c r="E1954" t="s">
        <v>2213</v>
      </c>
    </row>
    <row r="1955" spans="1:5" x14ac:dyDescent="0.4">
      <c r="A1955" t="s">
        <v>3975</v>
      </c>
      <c r="B1955" t="s">
        <v>3976</v>
      </c>
      <c r="C1955" t="s">
        <v>39</v>
      </c>
      <c r="E1955" t="s">
        <v>2213</v>
      </c>
    </row>
    <row r="1956" spans="1:5" x14ac:dyDescent="0.4">
      <c r="A1956" t="s">
        <v>3977</v>
      </c>
      <c r="B1956" t="s">
        <v>3978</v>
      </c>
      <c r="C1956" t="s">
        <v>39</v>
      </c>
      <c r="E1956" t="s">
        <v>2213</v>
      </c>
    </row>
    <row r="1957" spans="1:5" x14ac:dyDescent="0.4">
      <c r="A1957" t="s">
        <v>3979</v>
      </c>
      <c r="B1957" t="s">
        <v>3980</v>
      </c>
      <c r="C1957" t="s">
        <v>56</v>
      </c>
      <c r="E1957" t="s">
        <v>2213</v>
      </c>
    </row>
    <row r="1958" spans="1:5" x14ac:dyDescent="0.4">
      <c r="A1958" t="s">
        <v>3981</v>
      </c>
      <c r="B1958" t="s">
        <v>3982</v>
      </c>
      <c r="C1958" t="s">
        <v>56</v>
      </c>
      <c r="E1958" t="s">
        <v>2213</v>
      </c>
    </row>
    <row r="1959" spans="1:5" x14ac:dyDescent="0.4">
      <c r="A1959" t="s">
        <v>3983</v>
      </c>
      <c r="B1959" t="s">
        <v>3984</v>
      </c>
      <c r="C1959" t="s">
        <v>56</v>
      </c>
      <c r="E1959" t="s">
        <v>2213</v>
      </c>
    </row>
    <row r="1960" spans="1:5" x14ac:dyDescent="0.4">
      <c r="A1960" t="s">
        <v>3985</v>
      </c>
      <c r="B1960" t="s">
        <v>3986</v>
      </c>
      <c r="C1960" t="s">
        <v>56</v>
      </c>
      <c r="E1960" t="s">
        <v>2213</v>
      </c>
    </row>
    <row r="1961" spans="1:5" x14ac:dyDescent="0.4">
      <c r="A1961" t="s">
        <v>3987</v>
      </c>
      <c r="B1961" t="s">
        <v>3988</v>
      </c>
      <c r="C1961" t="s">
        <v>56</v>
      </c>
      <c r="E1961" t="s">
        <v>2213</v>
      </c>
    </row>
    <row r="1962" spans="1:5" x14ac:dyDescent="0.4">
      <c r="A1962" t="s">
        <v>3989</v>
      </c>
      <c r="B1962" t="s">
        <v>3990</v>
      </c>
      <c r="C1962" t="s">
        <v>6</v>
      </c>
      <c r="D1962" t="s">
        <v>16</v>
      </c>
      <c r="E1962" t="s">
        <v>2213</v>
      </c>
    </row>
    <row r="1963" spans="1:5" x14ac:dyDescent="0.4">
      <c r="A1963" t="s">
        <v>3991</v>
      </c>
      <c r="B1963" t="s">
        <v>3992</v>
      </c>
      <c r="C1963" t="s">
        <v>6</v>
      </c>
      <c r="D1963" t="s">
        <v>13</v>
      </c>
      <c r="E1963" t="s">
        <v>2213</v>
      </c>
    </row>
    <row r="1964" spans="1:5" x14ac:dyDescent="0.4">
      <c r="A1964" t="s">
        <v>3993</v>
      </c>
      <c r="B1964" t="s">
        <v>3994</v>
      </c>
      <c r="C1964" t="s">
        <v>6</v>
      </c>
      <c r="D1964" t="s">
        <v>10</v>
      </c>
      <c r="E1964" t="s">
        <v>2213</v>
      </c>
    </row>
    <row r="1965" spans="1:5" x14ac:dyDescent="0.4">
      <c r="A1965" t="s">
        <v>3995</v>
      </c>
      <c r="B1965" t="s">
        <v>3996</v>
      </c>
      <c r="C1965" t="s">
        <v>6</v>
      </c>
      <c r="D1965" t="s">
        <v>7</v>
      </c>
      <c r="E1965" t="s">
        <v>2213</v>
      </c>
    </row>
    <row r="1966" spans="1:5" x14ac:dyDescent="0.4">
      <c r="A1966" t="s">
        <v>3997</v>
      </c>
      <c r="B1966" t="s">
        <v>3998</v>
      </c>
      <c r="C1966" t="s">
        <v>6</v>
      </c>
      <c r="D1966" t="s">
        <v>1126</v>
      </c>
      <c r="E1966" t="s">
        <v>2213</v>
      </c>
    </row>
    <row r="1967" spans="1:5" x14ac:dyDescent="0.4">
      <c r="A1967" t="s">
        <v>3999</v>
      </c>
      <c r="B1967" t="s">
        <v>4000</v>
      </c>
      <c r="C1967" t="s">
        <v>39</v>
      </c>
      <c r="E1967" t="s">
        <v>2213</v>
      </c>
    </row>
    <row r="1968" spans="1:5" x14ac:dyDescent="0.4">
      <c r="A1968" t="s">
        <v>4001</v>
      </c>
      <c r="B1968" t="s">
        <v>4002</v>
      </c>
      <c r="C1968" t="s">
        <v>39</v>
      </c>
      <c r="E1968" t="s">
        <v>2213</v>
      </c>
    </row>
    <row r="1969" spans="1:5" x14ac:dyDescent="0.4">
      <c r="A1969" t="s">
        <v>4003</v>
      </c>
      <c r="B1969" t="s">
        <v>4004</v>
      </c>
      <c r="C1969" t="s">
        <v>39</v>
      </c>
      <c r="E1969" t="s">
        <v>2213</v>
      </c>
    </row>
    <row r="1970" spans="1:5" x14ac:dyDescent="0.4">
      <c r="A1970" t="s">
        <v>4005</v>
      </c>
      <c r="B1970" t="s">
        <v>4006</v>
      </c>
      <c r="C1970" t="s">
        <v>39</v>
      </c>
      <c r="E1970" t="s">
        <v>2213</v>
      </c>
    </row>
    <row r="1971" spans="1:5" x14ac:dyDescent="0.4">
      <c r="A1971" t="s">
        <v>4007</v>
      </c>
      <c r="B1971" t="s">
        <v>4008</v>
      </c>
      <c r="C1971" t="s">
        <v>39</v>
      </c>
      <c r="E1971" t="s">
        <v>2213</v>
      </c>
    </row>
    <row r="1972" spans="1:5" x14ac:dyDescent="0.4">
      <c r="A1972" t="s">
        <v>4009</v>
      </c>
      <c r="B1972" t="s">
        <v>4010</v>
      </c>
      <c r="C1972" t="s">
        <v>56</v>
      </c>
      <c r="E1972" t="s">
        <v>2213</v>
      </c>
    </row>
    <row r="1973" spans="1:5" x14ac:dyDescent="0.4">
      <c r="A1973" t="s">
        <v>4011</v>
      </c>
      <c r="B1973" t="s">
        <v>4012</v>
      </c>
      <c r="C1973" t="s">
        <v>56</v>
      </c>
      <c r="E1973" t="s">
        <v>2213</v>
      </c>
    </row>
    <row r="1974" spans="1:5" x14ac:dyDescent="0.4">
      <c r="A1974" t="s">
        <v>4013</v>
      </c>
      <c r="B1974" t="s">
        <v>4014</v>
      </c>
      <c r="C1974" t="s">
        <v>56</v>
      </c>
      <c r="E1974" t="s">
        <v>2213</v>
      </c>
    </row>
    <row r="1975" spans="1:5" x14ac:dyDescent="0.4">
      <c r="A1975" t="s">
        <v>4015</v>
      </c>
      <c r="B1975" t="s">
        <v>4016</v>
      </c>
      <c r="C1975" t="s">
        <v>56</v>
      </c>
      <c r="E1975" t="s">
        <v>2213</v>
      </c>
    </row>
    <row r="1976" spans="1:5" x14ac:dyDescent="0.4">
      <c r="A1976" t="s">
        <v>4017</v>
      </c>
      <c r="B1976" t="s">
        <v>4018</v>
      </c>
      <c r="C1976" t="s">
        <v>56</v>
      </c>
      <c r="E1976" t="s">
        <v>2213</v>
      </c>
    </row>
    <row r="1977" spans="1:5" x14ac:dyDescent="0.4">
      <c r="A1977" t="s">
        <v>4019</v>
      </c>
      <c r="B1977" t="s">
        <v>4020</v>
      </c>
      <c r="C1977" t="s">
        <v>6</v>
      </c>
      <c r="D1977" t="s">
        <v>13</v>
      </c>
      <c r="E1977" t="s">
        <v>2213</v>
      </c>
    </row>
    <row r="1978" spans="1:5" x14ac:dyDescent="0.4">
      <c r="A1978" t="s">
        <v>4021</v>
      </c>
      <c r="B1978" t="s">
        <v>4022</v>
      </c>
      <c r="C1978" t="s">
        <v>6</v>
      </c>
      <c r="D1978" t="s">
        <v>10</v>
      </c>
      <c r="E1978" t="s">
        <v>2213</v>
      </c>
    </row>
    <row r="1979" spans="1:5" x14ac:dyDescent="0.4">
      <c r="A1979" t="s">
        <v>4023</v>
      </c>
      <c r="B1979" t="s">
        <v>4024</v>
      </c>
      <c r="C1979" t="s">
        <v>6</v>
      </c>
      <c r="D1979" t="s">
        <v>7</v>
      </c>
      <c r="E1979" t="s">
        <v>2213</v>
      </c>
    </row>
    <row r="1980" spans="1:5" x14ac:dyDescent="0.4">
      <c r="A1980" t="s">
        <v>4025</v>
      </c>
      <c r="B1980" t="s">
        <v>4026</v>
      </c>
      <c r="C1980" t="s">
        <v>6</v>
      </c>
      <c r="D1980" t="s">
        <v>36</v>
      </c>
      <c r="E1980" t="s">
        <v>2213</v>
      </c>
    </row>
    <row r="1981" spans="1:5" x14ac:dyDescent="0.4">
      <c r="A1981" t="s">
        <v>4027</v>
      </c>
      <c r="B1981" t="s">
        <v>4028</v>
      </c>
      <c r="C1981" t="s">
        <v>6</v>
      </c>
      <c r="D1981" t="s">
        <v>30</v>
      </c>
      <c r="E1981" t="s">
        <v>2213</v>
      </c>
    </row>
    <row r="1982" spans="1:5" x14ac:dyDescent="0.4">
      <c r="A1982" t="s">
        <v>4029</v>
      </c>
      <c r="B1982" t="s">
        <v>4030</v>
      </c>
      <c r="C1982" t="s">
        <v>39</v>
      </c>
      <c r="E1982" t="s">
        <v>2213</v>
      </c>
    </row>
    <row r="1983" spans="1:5" x14ac:dyDescent="0.4">
      <c r="A1983" t="s">
        <v>4031</v>
      </c>
      <c r="B1983" t="s">
        <v>4032</v>
      </c>
      <c r="C1983" t="s">
        <v>39</v>
      </c>
      <c r="E1983" t="s">
        <v>2213</v>
      </c>
    </row>
    <row r="1984" spans="1:5" x14ac:dyDescent="0.4">
      <c r="A1984" t="s">
        <v>4033</v>
      </c>
      <c r="B1984" t="s">
        <v>4034</v>
      </c>
      <c r="C1984" t="s">
        <v>39</v>
      </c>
      <c r="E1984" t="s">
        <v>2213</v>
      </c>
    </row>
    <row r="1985" spans="1:5" x14ac:dyDescent="0.4">
      <c r="A1985" t="s">
        <v>4035</v>
      </c>
      <c r="B1985" t="s">
        <v>4036</v>
      </c>
      <c r="C1985" t="s">
        <v>39</v>
      </c>
      <c r="E1985" t="s">
        <v>2213</v>
      </c>
    </row>
    <row r="1986" spans="1:5" x14ac:dyDescent="0.4">
      <c r="A1986" t="s">
        <v>4037</v>
      </c>
      <c r="B1986" t="s">
        <v>4038</v>
      </c>
      <c r="C1986" t="s">
        <v>39</v>
      </c>
      <c r="E1986" t="s">
        <v>2213</v>
      </c>
    </row>
    <row r="1987" spans="1:5" x14ac:dyDescent="0.4">
      <c r="A1987" t="s">
        <v>4039</v>
      </c>
      <c r="B1987" t="s">
        <v>4040</v>
      </c>
      <c r="C1987" t="s">
        <v>56</v>
      </c>
      <c r="E1987" t="s">
        <v>2213</v>
      </c>
    </row>
    <row r="1988" spans="1:5" x14ac:dyDescent="0.4">
      <c r="A1988" t="s">
        <v>4041</v>
      </c>
      <c r="B1988" t="s">
        <v>4042</v>
      </c>
      <c r="C1988" t="s">
        <v>56</v>
      </c>
      <c r="E1988" t="s">
        <v>2213</v>
      </c>
    </row>
    <row r="1989" spans="1:5" x14ac:dyDescent="0.4">
      <c r="A1989" t="s">
        <v>4043</v>
      </c>
      <c r="B1989" t="s">
        <v>4044</v>
      </c>
      <c r="C1989" t="s">
        <v>56</v>
      </c>
      <c r="E1989" t="s">
        <v>2213</v>
      </c>
    </row>
    <row r="1990" spans="1:5" x14ac:dyDescent="0.4">
      <c r="A1990" t="s">
        <v>4045</v>
      </c>
      <c r="B1990" t="s">
        <v>4046</v>
      </c>
      <c r="C1990" t="s">
        <v>56</v>
      </c>
      <c r="E1990" t="s">
        <v>2213</v>
      </c>
    </row>
    <row r="1991" spans="1:5" x14ac:dyDescent="0.4">
      <c r="A1991" t="s">
        <v>4047</v>
      </c>
      <c r="B1991" t="s">
        <v>4048</v>
      </c>
      <c r="C1991" t="s">
        <v>56</v>
      </c>
      <c r="E1991" t="s">
        <v>2213</v>
      </c>
    </row>
    <row r="1992" spans="1:5" x14ac:dyDescent="0.4">
      <c r="A1992" t="s">
        <v>4049</v>
      </c>
      <c r="B1992" t="s">
        <v>4050</v>
      </c>
      <c r="C1992" t="s">
        <v>6</v>
      </c>
      <c r="D1992" t="s">
        <v>13</v>
      </c>
      <c r="E1992" t="s">
        <v>2213</v>
      </c>
    </row>
    <row r="1993" spans="1:5" x14ac:dyDescent="0.4">
      <c r="A1993" t="s">
        <v>4051</v>
      </c>
      <c r="B1993" t="s">
        <v>4052</v>
      </c>
      <c r="C1993" t="s">
        <v>6</v>
      </c>
      <c r="D1993" t="s">
        <v>10</v>
      </c>
      <c r="E1993" t="s">
        <v>2213</v>
      </c>
    </row>
    <row r="1994" spans="1:5" x14ac:dyDescent="0.4">
      <c r="A1994" t="s">
        <v>4053</v>
      </c>
      <c r="B1994" t="s">
        <v>4054</v>
      </c>
      <c r="C1994" t="s">
        <v>6</v>
      </c>
      <c r="D1994" t="s">
        <v>7</v>
      </c>
      <c r="E1994" t="s">
        <v>2213</v>
      </c>
    </row>
    <row r="1995" spans="1:5" x14ac:dyDescent="0.4">
      <c r="A1995" t="s">
        <v>4055</v>
      </c>
      <c r="B1995" t="s">
        <v>4056</v>
      </c>
      <c r="C1995" t="s">
        <v>6</v>
      </c>
      <c r="D1995" t="s">
        <v>36</v>
      </c>
      <c r="E1995" t="s">
        <v>2213</v>
      </c>
    </row>
    <row r="1996" spans="1:5" x14ac:dyDescent="0.4">
      <c r="A1996" t="s">
        <v>4057</v>
      </c>
      <c r="B1996" t="s">
        <v>4058</v>
      </c>
      <c r="C1996" t="s">
        <v>6</v>
      </c>
      <c r="D1996" t="s">
        <v>30</v>
      </c>
      <c r="E1996" t="s">
        <v>2213</v>
      </c>
    </row>
    <row r="1997" spans="1:5" x14ac:dyDescent="0.4">
      <c r="A1997" t="s">
        <v>4059</v>
      </c>
      <c r="B1997" t="s">
        <v>4060</v>
      </c>
      <c r="C1997" t="s">
        <v>39</v>
      </c>
      <c r="E1997" t="s">
        <v>2213</v>
      </c>
    </row>
    <row r="1998" spans="1:5" x14ac:dyDescent="0.4">
      <c r="A1998" t="s">
        <v>4061</v>
      </c>
      <c r="B1998" t="s">
        <v>4062</v>
      </c>
      <c r="C1998" t="s">
        <v>39</v>
      </c>
      <c r="E1998" t="s">
        <v>2213</v>
      </c>
    </row>
    <row r="1999" spans="1:5" x14ac:dyDescent="0.4">
      <c r="A1999" t="s">
        <v>4063</v>
      </c>
      <c r="B1999" t="s">
        <v>4064</v>
      </c>
      <c r="C1999" t="s">
        <v>39</v>
      </c>
      <c r="E1999" t="s">
        <v>2213</v>
      </c>
    </row>
    <row r="2000" spans="1:5" x14ac:dyDescent="0.4">
      <c r="A2000" t="s">
        <v>4065</v>
      </c>
      <c r="B2000" t="s">
        <v>4066</v>
      </c>
      <c r="C2000" t="s">
        <v>39</v>
      </c>
      <c r="E2000" t="s">
        <v>2213</v>
      </c>
    </row>
    <row r="2001" spans="1:5" x14ac:dyDescent="0.4">
      <c r="A2001" t="s">
        <v>4067</v>
      </c>
      <c r="B2001" t="s">
        <v>4068</v>
      </c>
      <c r="C2001" t="s">
        <v>39</v>
      </c>
      <c r="E2001" t="s">
        <v>2213</v>
      </c>
    </row>
    <row r="2002" spans="1:5" x14ac:dyDescent="0.4">
      <c r="A2002" t="s">
        <v>4069</v>
      </c>
      <c r="B2002" t="s">
        <v>4070</v>
      </c>
      <c r="C2002" t="s">
        <v>56</v>
      </c>
      <c r="E2002" t="s">
        <v>2213</v>
      </c>
    </row>
    <row r="2003" spans="1:5" x14ac:dyDescent="0.4">
      <c r="A2003" t="s">
        <v>4071</v>
      </c>
      <c r="B2003" t="s">
        <v>4072</v>
      </c>
      <c r="C2003" t="s">
        <v>56</v>
      </c>
      <c r="E2003" t="s">
        <v>2213</v>
      </c>
    </row>
    <row r="2004" spans="1:5" x14ac:dyDescent="0.4">
      <c r="A2004" t="s">
        <v>4073</v>
      </c>
      <c r="B2004" t="s">
        <v>4074</v>
      </c>
      <c r="C2004" t="s">
        <v>56</v>
      </c>
      <c r="E2004" t="s">
        <v>2213</v>
      </c>
    </row>
    <row r="2005" spans="1:5" x14ac:dyDescent="0.4">
      <c r="A2005" t="s">
        <v>4075</v>
      </c>
      <c r="B2005" t="s">
        <v>4076</v>
      </c>
      <c r="C2005" t="s">
        <v>56</v>
      </c>
      <c r="E2005" t="s">
        <v>2213</v>
      </c>
    </row>
    <row r="2006" spans="1:5" x14ac:dyDescent="0.4">
      <c r="A2006" t="s">
        <v>4077</v>
      </c>
      <c r="B2006" t="s">
        <v>4078</v>
      </c>
      <c r="C2006" t="s">
        <v>56</v>
      </c>
      <c r="E2006" t="s">
        <v>2213</v>
      </c>
    </row>
    <row r="2007" spans="1:5" x14ac:dyDescent="0.4">
      <c r="A2007" t="s">
        <v>4079</v>
      </c>
      <c r="B2007" t="s">
        <v>4080</v>
      </c>
      <c r="C2007" t="s">
        <v>6</v>
      </c>
      <c r="D2007" t="s">
        <v>16</v>
      </c>
      <c r="E2007" t="s">
        <v>2217</v>
      </c>
    </row>
    <row r="2008" spans="1:5" x14ac:dyDescent="0.4">
      <c r="A2008" t="s">
        <v>4081</v>
      </c>
      <c r="B2008" t="s">
        <v>4082</v>
      </c>
      <c r="C2008" t="s">
        <v>6</v>
      </c>
      <c r="D2008" t="s">
        <v>10</v>
      </c>
      <c r="E2008" t="s">
        <v>2217</v>
      </c>
    </row>
    <row r="2009" spans="1:5" x14ac:dyDescent="0.4">
      <c r="A2009" t="s">
        <v>4083</v>
      </c>
      <c r="B2009" t="s">
        <v>4084</v>
      </c>
      <c r="C2009" t="s">
        <v>6</v>
      </c>
      <c r="D2009" t="s">
        <v>36</v>
      </c>
      <c r="E2009" t="s">
        <v>2217</v>
      </c>
    </row>
    <row r="2010" spans="1:5" x14ac:dyDescent="0.4">
      <c r="A2010" t="s">
        <v>4085</v>
      </c>
      <c r="B2010" t="s">
        <v>4086</v>
      </c>
      <c r="C2010" t="s">
        <v>6</v>
      </c>
      <c r="D2010" t="s">
        <v>1126</v>
      </c>
      <c r="E2010" t="s">
        <v>2217</v>
      </c>
    </row>
    <row r="2011" spans="1:5" x14ac:dyDescent="0.4">
      <c r="A2011" t="s">
        <v>4087</v>
      </c>
      <c r="B2011" t="s">
        <v>4088</v>
      </c>
      <c r="C2011" t="s">
        <v>6</v>
      </c>
      <c r="D2011" t="s">
        <v>1126</v>
      </c>
      <c r="E2011" t="s">
        <v>2217</v>
      </c>
    </row>
    <row r="2012" spans="1:5" x14ac:dyDescent="0.4">
      <c r="A2012" t="s">
        <v>4089</v>
      </c>
      <c r="B2012" t="s">
        <v>4090</v>
      </c>
      <c r="C2012" t="s">
        <v>39</v>
      </c>
      <c r="E2012" t="s">
        <v>2217</v>
      </c>
    </row>
    <row r="2013" spans="1:5" x14ac:dyDescent="0.4">
      <c r="A2013" t="s">
        <v>4091</v>
      </c>
      <c r="B2013" t="s">
        <v>4092</v>
      </c>
      <c r="C2013" t="s">
        <v>39</v>
      </c>
      <c r="E2013" t="s">
        <v>2217</v>
      </c>
    </row>
    <row r="2014" spans="1:5" x14ac:dyDescent="0.4">
      <c r="A2014" t="s">
        <v>4093</v>
      </c>
      <c r="B2014" t="s">
        <v>4094</v>
      </c>
      <c r="C2014" t="s">
        <v>39</v>
      </c>
      <c r="E2014" t="s">
        <v>2217</v>
      </c>
    </row>
    <row r="2015" spans="1:5" x14ac:dyDescent="0.4">
      <c r="A2015" t="s">
        <v>4095</v>
      </c>
      <c r="B2015" t="s">
        <v>4096</v>
      </c>
      <c r="C2015" t="s">
        <v>39</v>
      </c>
      <c r="E2015" t="s">
        <v>2217</v>
      </c>
    </row>
    <row r="2016" spans="1:5" x14ac:dyDescent="0.4">
      <c r="A2016" t="s">
        <v>4097</v>
      </c>
      <c r="B2016" t="s">
        <v>4098</v>
      </c>
      <c r="C2016" t="s">
        <v>39</v>
      </c>
      <c r="E2016" t="s">
        <v>2217</v>
      </c>
    </row>
    <row r="2017" spans="1:5" x14ac:dyDescent="0.4">
      <c r="A2017" t="s">
        <v>4099</v>
      </c>
      <c r="B2017" t="s">
        <v>4100</v>
      </c>
      <c r="C2017" t="s">
        <v>6</v>
      </c>
      <c r="D2017" t="s">
        <v>10</v>
      </c>
      <c r="E2017" t="s">
        <v>2217</v>
      </c>
    </row>
    <row r="2018" spans="1:5" x14ac:dyDescent="0.4">
      <c r="A2018" t="s">
        <v>4101</v>
      </c>
      <c r="B2018" t="s">
        <v>4102</v>
      </c>
      <c r="C2018" t="s">
        <v>6</v>
      </c>
      <c r="D2018" t="s">
        <v>21</v>
      </c>
      <c r="E2018" t="s">
        <v>2217</v>
      </c>
    </row>
    <row r="2019" spans="1:5" x14ac:dyDescent="0.4">
      <c r="A2019" t="s">
        <v>4103</v>
      </c>
      <c r="B2019" t="s">
        <v>4104</v>
      </c>
      <c r="C2019" t="s">
        <v>6</v>
      </c>
      <c r="D2019" t="s">
        <v>10</v>
      </c>
      <c r="E2019" t="s">
        <v>2217</v>
      </c>
    </row>
    <row r="2020" spans="1:5" x14ac:dyDescent="0.4">
      <c r="A2020" t="s">
        <v>4105</v>
      </c>
      <c r="B2020" t="s">
        <v>4106</v>
      </c>
      <c r="C2020" t="s">
        <v>6</v>
      </c>
      <c r="D2020" t="s">
        <v>36</v>
      </c>
      <c r="E2020" t="s">
        <v>2217</v>
      </c>
    </row>
    <row r="2021" spans="1:5" x14ac:dyDescent="0.4">
      <c r="A2021" t="s">
        <v>4107</v>
      </c>
      <c r="B2021" t="s">
        <v>4108</v>
      </c>
      <c r="C2021" t="s">
        <v>6</v>
      </c>
      <c r="D2021" t="s">
        <v>10</v>
      </c>
      <c r="E2021" t="s">
        <v>2217</v>
      </c>
    </row>
    <row r="2022" spans="1:5" x14ac:dyDescent="0.4">
      <c r="A2022" t="s">
        <v>4109</v>
      </c>
      <c r="B2022" t="s">
        <v>4110</v>
      </c>
      <c r="C2022" t="s">
        <v>56</v>
      </c>
      <c r="E2022" t="s">
        <v>2217</v>
      </c>
    </row>
    <row r="2023" spans="1:5" x14ac:dyDescent="0.4">
      <c r="A2023" t="s">
        <v>4111</v>
      </c>
      <c r="B2023" t="s">
        <v>4112</v>
      </c>
      <c r="C2023" t="s">
        <v>56</v>
      </c>
      <c r="E2023" t="s">
        <v>2217</v>
      </c>
    </row>
    <row r="2024" spans="1:5" x14ac:dyDescent="0.4">
      <c r="A2024" t="s">
        <v>4113</v>
      </c>
      <c r="B2024" t="s">
        <v>4114</v>
      </c>
      <c r="C2024" t="s">
        <v>56</v>
      </c>
      <c r="E2024" t="s">
        <v>2217</v>
      </c>
    </row>
    <row r="2025" spans="1:5" x14ac:dyDescent="0.4">
      <c r="A2025" t="s">
        <v>4115</v>
      </c>
      <c r="B2025" t="s">
        <v>4116</v>
      </c>
      <c r="C2025" t="s">
        <v>56</v>
      </c>
      <c r="E2025" t="s">
        <v>2217</v>
      </c>
    </row>
    <row r="2026" spans="1:5" x14ac:dyDescent="0.4">
      <c r="A2026" t="s">
        <v>4117</v>
      </c>
      <c r="B2026" t="s">
        <v>4118</v>
      </c>
      <c r="C2026" t="s">
        <v>56</v>
      </c>
      <c r="E2026" t="s">
        <v>2217</v>
      </c>
    </row>
    <row r="2027" spans="1:5" x14ac:dyDescent="0.4">
      <c r="A2027" t="s">
        <v>4119</v>
      </c>
      <c r="B2027" t="s">
        <v>4120</v>
      </c>
      <c r="C2027" t="s">
        <v>6</v>
      </c>
      <c r="D2027" t="s">
        <v>16</v>
      </c>
      <c r="E2027" t="s">
        <v>2217</v>
      </c>
    </row>
    <row r="2028" spans="1:5" x14ac:dyDescent="0.4">
      <c r="A2028" t="s">
        <v>4121</v>
      </c>
      <c r="B2028" t="s">
        <v>4122</v>
      </c>
      <c r="C2028" t="s">
        <v>6</v>
      </c>
      <c r="D2028" t="s">
        <v>10</v>
      </c>
      <c r="E2028" t="s">
        <v>2217</v>
      </c>
    </row>
    <row r="2029" spans="1:5" x14ac:dyDescent="0.4">
      <c r="A2029" t="s">
        <v>4123</v>
      </c>
      <c r="B2029" t="s">
        <v>4124</v>
      </c>
      <c r="C2029" t="s">
        <v>6</v>
      </c>
      <c r="D2029" t="s">
        <v>7</v>
      </c>
      <c r="E2029" t="s">
        <v>2217</v>
      </c>
    </row>
    <row r="2030" spans="1:5" x14ac:dyDescent="0.4">
      <c r="A2030" t="s">
        <v>4125</v>
      </c>
      <c r="B2030" t="s">
        <v>4126</v>
      </c>
      <c r="C2030" t="s">
        <v>6</v>
      </c>
      <c r="D2030" t="s">
        <v>1126</v>
      </c>
      <c r="E2030" t="s">
        <v>2217</v>
      </c>
    </row>
    <row r="2031" spans="1:5" x14ac:dyDescent="0.4">
      <c r="A2031" t="s">
        <v>4127</v>
      </c>
      <c r="B2031" t="s">
        <v>4128</v>
      </c>
      <c r="C2031" t="s">
        <v>6</v>
      </c>
      <c r="D2031" t="s">
        <v>10</v>
      </c>
      <c r="E2031" t="s">
        <v>2217</v>
      </c>
    </row>
    <row r="2032" spans="1:5" x14ac:dyDescent="0.4">
      <c r="A2032" t="s">
        <v>4129</v>
      </c>
      <c r="B2032" t="s">
        <v>4130</v>
      </c>
      <c r="C2032" t="s">
        <v>39</v>
      </c>
      <c r="E2032" t="s">
        <v>2217</v>
      </c>
    </row>
    <row r="2033" spans="1:5" x14ac:dyDescent="0.4">
      <c r="A2033" t="s">
        <v>4131</v>
      </c>
      <c r="B2033" t="s">
        <v>4132</v>
      </c>
      <c r="C2033" t="s">
        <v>39</v>
      </c>
      <c r="E2033" t="s">
        <v>2217</v>
      </c>
    </row>
    <row r="2034" spans="1:5" x14ac:dyDescent="0.4">
      <c r="A2034" t="s">
        <v>4133</v>
      </c>
      <c r="B2034" t="s">
        <v>4134</v>
      </c>
      <c r="C2034" t="s">
        <v>39</v>
      </c>
      <c r="E2034" t="s">
        <v>2217</v>
      </c>
    </row>
    <row r="2035" spans="1:5" x14ac:dyDescent="0.4">
      <c r="A2035" t="s">
        <v>4135</v>
      </c>
      <c r="B2035" t="s">
        <v>4136</v>
      </c>
      <c r="C2035" t="s">
        <v>39</v>
      </c>
      <c r="E2035" t="s">
        <v>2217</v>
      </c>
    </row>
    <row r="2036" spans="1:5" x14ac:dyDescent="0.4">
      <c r="A2036" t="s">
        <v>4137</v>
      </c>
      <c r="B2036" t="s">
        <v>4138</v>
      </c>
      <c r="C2036" t="s">
        <v>39</v>
      </c>
      <c r="E2036" t="s">
        <v>2217</v>
      </c>
    </row>
    <row r="2037" spans="1:5" x14ac:dyDescent="0.4">
      <c r="A2037" t="s">
        <v>4139</v>
      </c>
      <c r="B2037" t="s">
        <v>4140</v>
      </c>
      <c r="C2037" t="s">
        <v>6</v>
      </c>
      <c r="D2037" t="s">
        <v>24</v>
      </c>
      <c r="E2037" t="s">
        <v>2217</v>
      </c>
    </row>
    <row r="2038" spans="1:5" x14ac:dyDescent="0.4">
      <c r="A2038" t="s">
        <v>4141</v>
      </c>
      <c r="B2038" t="s">
        <v>4142</v>
      </c>
      <c r="C2038" t="s">
        <v>6</v>
      </c>
      <c r="D2038" t="s">
        <v>36</v>
      </c>
      <c r="E2038" t="s">
        <v>2217</v>
      </c>
    </row>
    <row r="2039" spans="1:5" x14ac:dyDescent="0.4">
      <c r="A2039" t="s">
        <v>4143</v>
      </c>
      <c r="B2039" t="s">
        <v>4144</v>
      </c>
      <c r="C2039" t="s">
        <v>6</v>
      </c>
      <c r="D2039" t="s">
        <v>27</v>
      </c>
      <c r="E2039" t="s">
        <v>2217</v>
      </c>
    </row>
    <row r="2040" spans="1:5" x14ac:dyDescent="0.4">
      <c r="A2040" t="s">
        <v>4145</v>
      </c>
      <c r="B2040" t="s">
        <v>4146</v>
      </c>
      <c r="C2040" t="s">
        <v>6</v>
      </c>
      <c r="D2040" t="s">
        <v>16</v>
      </c>
      <c r="E2040" t="s">
        <v>2217</v>
      </c>
    </row>
    <row r="2041" spans="1:5" x14ac:dyDescent="0.4">
      <c r="A2041" t="s">
        <v>4147</v>
      </c>
      <c r="B2041" t="s">
        <v>4148</v>
      </c>
      <c r="C2041" t="s">
        <v>6</v>
      </c>
      <c r="D2041" t="s">
        <v>36</v>
      </c>
      <c r="E2041" t="s">
        <v>2217</v>
      </c>
    </row>
    <row r="2042" spans="1:5" x14ac:dyDescent="0.4">
      <c r="A2042" t="s">
        <v>4149</v>
      </c>
      <c r="B2042" t="s">
        <v>4150</v>
      </c>
      <c r="C2042" t="s">
        <v>56</v>
      </c>
      <c r="E2042" t="s">
        <v>2217</v>
      </c>
    </row>
    <row r="2043" spans="1:5" x14ac:dyDescent="0.4">
      <c r="A2043" t="s">
        <v>4151</v>
      </c>
      <c r="B2043" t="s">
        <v>4152</v>
      </c>
      <c r="C2043" t="s">
        <v>56</v>
      </c>
      <c r="E2043" t="s">
        <v>2217</v>
      </c>
    </row>
    <row r="2044" spans="1:5" x14ac:dyDescent="0.4">
      <c r="A2044" t="s">
        <v>4153</v>
      </c>
      <c r="B2044" t="s">
        <v>4154</v>
      </c>
      <c r="C2044" t="s">
        <v>56</v>
      </c>
      <c r="E2044" t="s">
        <v>2217</v>
      </c>
    </row>
    <row r="2045" spans="1:5" x14ac:dyDescent="0.4">
      <c r="A2045" t="s">
        <v>4155</v>
      </c>
      <c r="B2045" t="s">
        <v>4156</v>
      </c>
      <c r="C2045" t="s">
        <v>56</v>
      </c>
      <c r="E2045" t="s">
        <v>2217</v>
      </c>
    </row>
    <row r="2046" spans="1:5" x14ac:dyDescent="0.4">
      <c r="A2046" t="s">
        <v>4157</v>
      </c>
      <c r="B2046" t="s">
        <v>4158</v>
      </c>
      <c r="C2046" t="s">
        <v>56</v>
      </c>
      <c r="E2046" t="s">
        <v>2217</v>
      </c>
    </row>
    <row r="2047" spans="1:5" x14ac:dyDescent="0.4">
      <c r="A2047" t="s">
        <v>4159</v>
      </c>
      <c r="B2047" t="s">
        <v>4160</v>
      </c>
      <c r="C2047" t="s">
        <v>6</v>
      </c>
      <c r="D2047" t="s">
        <v>1126</v>
      </c>
      <c r="E2047" t="s">
        <v>2217</v>
      </c>
    </row>
    <row r="2048" spans="1:5" x14ac:dyDescent="0.4">
      <c r="A2048" t="s">
        <v>4161</v>
      </c>
      <c r="B2048" t="s">
        <v>4162</v>
      </c>
      <c r="C2048" t="s">
        <v>6</v>
      </c>
      <c r="D2048" t="s">
        <v>10</v>
      </c>
      <c r="E2048" t="s">
        <v>2217</v>
      </c>
    </row>
    <row r="2049" spans="1:5" x14ac:dyDescent="0.4">
      <c r="A2049" t="s">
        <v>4163</v>
      </c>
      <c r="B2049" t="s">
        <v>4164</v>
      </c>
      <c r="C2049" t="s">
        <v>6</v>
      </c>
      <c r="D2049" t="s">
        <v>7</v>
      </c>
      <c r="E2049" t="s">
        <v>2217</v>
      </c>
    </row>
    <row r="2050" spans="1:5" x14ac:dyDescent="0.4">
      <c r="A2050" t="s">
        <v>4165</v>
      </c>
      <c r="B2050" t="s">
        <v>4166</v>
      </c>
      <c r="C2050" t="s">
        <v>6</v>
      </c>
      <c r="D2050" t="s">
        <v>1126</v>
      </c>
      <c r="E2050" t="s">
        <v>2217</v>
      </c>
    </row>
    <row r="2051" spans="1:5" x14ac:dyDescent="0.4">
      <c r="A2051" t="s">
        <v>4167</v>
      </c>
      <c r="B2051" t="s">
        <v>4168</v>
      </c>
      <c r="C2051" t="s">
        <v>6</v>
      </c>
      <c r="D2051" t="s">
        <v>16</v>
      </c>
      <c r="E2051" t="s">
        <v>2217</v>
      </c>
    </row>
    <row r="2052" spans="1:5" x14ac:dyDescent="0.4">
      <c r="A2052" t="s">
        <v>4169</v>
      </c>
      <c r="B2052" t="s">
        <v>4170</v>
      </c>
      <c r="C2052" t="s">
        <v>39</v>
      </c>
      <c r="E2052" t="s">
        <v>2217</v>
      </c>
    </row>
    <row r="2053" spans="1:5" x14ac:dyDescent="0.4">
      <c r="A2053" t="s">
        <v>4171</v>
      </c>
      <c r="B2053" t="s">
        <v>4172</v>
      </c>
      <c r="C2053" t="s">
        <v>39</v>
      </c>
      <c r="E2053" t="s">
        <v>2217</v>
      </c>
    </row>
    <row r="2054" spans="1:5" x14ac:dyDescent="0.4">
      <c r="A2054" t="s">
        <v>4173</v>
      </c>
      <c r="B2054" t="s">
        <v>4174</v>
      </c>
      <c r="C2054" t="s">
        <v>39</v>
      </c>
      <c r="E2054" t="s">
        <v>2217</v>
      </c>
    </row>
    <row r="2055" spans="1:5" x14ac:dyDescent="0.4">
      <c r="A2055" t="s">
        <v>4175</v>
      </c>
      <c r="B2055" t="s">
        <v>4176</v>
      </c>
      <c r="C2055" t="s">
        <v>39</v>
      </c>
      <c r="E2055" t="s">
        <v>2217</v>
      </c>
    </row>
    <row r="2056" spans="1:5" x14ac:dyDescent="0.4">
      <c r="A2056" t="s">
        <v>4177</v>
      </c>
      <c r="B2056" t="s">
        <v>4178</v>
      </c>
      <c r="C2056" t="s">
        <v>39</v>
      </c>
      <c r="E2056" t="s">
        <v>2217</v>
      </c>
    </row>
    <row r="2057" spans="1:5" x14ac:dyDescent="0.4">
      <c r="A2057" t="s">
        <v>4179</v>
      </c>
      <c r="B2057" t="s">
        <v>4180</v>
      </c>
      <c r="C2057" t="s">
        <v>6</v>
      </c>
      <c r="D2057" t="s">
        <v>36</v>
      </c>
      <c r="E2057" t="s">
        <v>2217</v>
      </c>
    </row>
    <row r="2058" spans="1:5" x14ac:dyDescent="0.4">
      <c r="A2058" t="s">
        <v>4181</v>
      </c>
      <c r="B2058" t="s">
        <v>4182</v>
      </c>
      <c r="C2058" t="s">
        <v>6</v>
      </c>
      <c r="D2058" t="s">
        <v>21</v>
      </c>
      <c r="E2058" t="s">
        <v>2217</v>
      </c>
    </row>
    <row r="2059" spans="1:5" x14ac:dyDescent="0.4">
      <c r="A2059" t="s">
        <v>4183</v>
      </c>
      <c r="B2059" t="s">
        <v>4184</v>
      </c>
      <c r="C2059" t="s">
        <v>6</v>
      </c>
      <c r="D2059" t="s">
        <v>24</v>
      </c>
      <c r="E2059" t="s">
        <v>2217</v>
      </c>
    </row>
    <row r="2060" spans="1:5" x14ac:dyDescent="0.4">
      <c r="A2060" t="s">
        <v>4185</v>
      </c>
      <c r="B2060" t="s">
        <v>4186</v>
      </c>
      <c r="C2060" t="s">
        <v>6</v>
      </c>
      <c r="D2060" t="s">
        <v>30</v>
      </c>
      <c r="E2060" t="s">
        <v>2217</v>
      </c>
    </row>
    <row r="2061" spans="1:5" x14ac:dyDescent="0.4">
      <c r="A2061" t="s">
        <v>4187</v>
      </c>
      <c r="B2061" t="s">
        <v>4188</v>
      </c>
      <c r="C2061" t="s">
        <v>6</v>
      </c>
      <c r="D2061" t="s">
        <v>13</v>
      </c>
      <c r="E2061" t="s">
        <v>2217</v>
      </c>
    </row>
    <row r="2062" spans="1:5" x14ac:dyDescent="0.4">
      <c r="A2062" t="s">
        <v>4189</v>
      </c>
      <c r="B2062" t="s">
        <v>4190</v>
      </c>
      <c r="C2062" t="s">
        <v>39</v>
      </c>
      <c r="E2062" t="s">
        <v>2217</v>
      </c>
    </row>
    <row r="2063" spans="1:5" x14ac:dyDescent="0.4">
      <c r="A2063" t="s">
        <v>4191</v>
      </c>
      <c r="B2063" t="s">
        <v>4192</v>
      </c>
      <c r="C2063" t="s">
        <v>39</v>
      </c>
      <c r="E2063" t="s">
        <v>2217</v>
      </c>
    </row>
    <row r="2064" spans="1:5" x14ac:dyDescent="0.4">
      <c r="A2064" t="s">
        <v>4193</v>
      </c>
      <c r="B2064" t="s">
        <v>4194</v>
      </c>
      <c r="C2064" t="s">
        <v>56</v>
      </c>
      <c r="E2064" t="s">
        <v>2217</v>
      </c>
    </row>
    <row r="2065" spans="1:5" x14ac:dyDescent="0.4">
      <c r="A2065" t="s">
        <v>4195</v>
      </c>
      <c r="B2065" t="s">
        <v>4196</v>
      </c>
      <c r="C2065" t="s">
        <v>56</v>
      </c>
      <c r="E2065" t="s">
        <v>2217</v>
      </c>
    </row>
    <row r="2066" spans="1:5" x14ac:dyDescent="0.4">
      <c r="A2066" t="s">
        <v>4197</v>
      </c>
      <c r="B2066" t="s">
        <v>4198</v>
      </c>
      <c r="C2066" t="s">
        <v>56</v>
      </c>
      <c r="E2066" t="s">
        <v>2217</v>
      </c>
    </row>
    <row r="2067" spans="1:5" x14ac:dyDescent="0.4">
      <c r="A2067" t="s">
        <v>4199</v>
      </c>
      <c r="B2067" t="s">
        <v>4200</v>
      </c>
      <c r="C2067" t="s">
        <v>6</v>
      </c>
      <c r="D2067" t="s">
        <v>10</v>
      </c>
      <c r="E2067" t="s">
        <v>2217</v>
      </c>
    </row>
    <row r="2068" spans="1:5" x14ac:dyDescent="0.4">
      <c r="A2068" t="s">
        <v>4201</v>
      </c>
      <c r="B2068" t="s">
        <v>4202</v>
      </c>
      <c r="C2068" t="s">
        <v>6</v>
      </c>
      <c r="D2068" t="s">
        <v>10</v>
      </c>
      <c r="E2068" t="s">
        <v>2217</v>
      </c>
    </row>
    <row r="2069" spans="1:5" x14ac:dyDescent="0.4">
      <c r="A2069" t="s">
        <v>4203</v>
      </c>
      <c r="B2069" t="s">
        <v>4204</v>
      </c>
      <c r="C2069" t="s">
        <v>6</v>
      </c>
      <c r="D2069" t="s">
        <v>36</v>
      </c>
      <c r="E2069" t="s">
        <v>2217</v>
      </c>
    </row>
    <row r="2070" spans="1:5" x14ac:dyDescent="0.4">
      <c r="A2070" t="s">
        <v>4205</v>
      </c>
      <c r="B2070" t="s">
        <v>4206</v>
      </c>
      <c r="C2070" t="s">
        <v>6</v>
      </c>
      <c r="D2070" t="s">
        <v>7</v>
      </c>
      <c r="E2070" t="s">
        <v>2217</v>
      </c>
    </row>
    <row r="2071" spans="1:5" x14ac:dyDescent="0.4">
      <c r="A2071" t="s">
        <v>4207</v>
      </c>
      <c r="B2071" t="s">
        <v>4208</v>
      </c>
      <c r="C2071" t="s">
        <v>6</v>
      </c>
      <c r="D2071" t="s">
        <v>16</v>
      </c>
      <c r="E2071" t="s">
        <v>2217</v>
      </c>
    </row>
    <row r="2072" spans="1:5" x14ac:dyDescent="0.4">
      <c r="A2072" t="s">
        <v>4209</v>
      </c>
      <c r="B2072" t="s">
        <v>4210</v>
      </c>
      <c r="C2072" t="s">
        <v>39</v>
      </c>
      <c r="E2072" t="s">
        <v>2217</v>
      </c>
    </row>
    <row r="2073" spans="1:5" x14ac:dyDescent="0.4">
      <c r="A2073" t="s">
        <v>4211</v>
      </c>
      <c r="B2073" t="s">
        <v>4212</v>
      </c>
      <c r="C2073" t="s">
        <v>39</v>
      </c>
      <c r="E2073" t="s">
        <v>2217</v>
      </c>
    </row>
    <row r="2074" spans="1:5" x14ac:dyDescent="0.4">
      <c r="A2074" t="s">
        <v>4213</v>
      </c>
      <c r="B2074" t="s">
        <v>4214</v>
      </c>
      <c r="C2074" t="s">
        <v>39</v>
      </c>
      <c r="E2074" t="s">
        <v>2217</v>
      </c>
    </row>
    <row r="2075" spans="1:5" x14ac:dyDescent="0.4">
      <c r="A2075" t="s">
        <v>4215</v>
      </c>
      <c r="B2075" t="s">
        <v>4216</v>
      </c>
      <c r="C2075" t="s">
        <v>39</v>
      </c>
      <c r="E2075" t="s">
        <v>2217</v>
      </c>
    </row>
    <row r="2076" spans="1:5" x14ac:dyDescent="0.4">
      <c r="A2076" t="s">
        <v>4217</v>
      </c>
      <c r="B2076" t="s">
        <v>4218</v>
      </c>
      <c r="C2076" t="s">
        <v>39</v>
      </c>
      <c r="E2076" t="s">
        <v>2217</v>
      </c>
    </row>
    <row r="2077" spans="1:5" x14ac:dyDescent="0.4">
      <c r="A2077" t="s">
        <v>4219</v>
      </c>
      <c r="B2077" t="s">
        <v>4220</v>
      </c>
      <c r="C2077" t="s">
        <v>6</v>
      </c>
      <c r="D2077" t="s">
        <v>21</v>
      </c>
      <c r="E2077" t="s">
        <v>2217</v>
      </c>
    </row>
    <row r="2078" spans="1:5" x14ac:dyDescent="0.4">
      <c r="A2078" t="s">
        <v>4221</v>
      </c>
      <c r="B2078" t="s">
        <v>4222</v>
      </c>
      <c r="C2078" t="s">
        <v>6</v>
      </c>
      <c r="D2078" t="s">
        <v>1126</v>
      </c>
      <c r="E2078" t="s">
        <v>2217</v>
      </c>
    </row>
    <row r="2079" spans="1:5" x14ac:dyDescent="0.4">
      <c r="A2079" t="s">
        <v>4223</v>
      </c>
      <c r="B2079" t="s">
        <v>4224</v>
      </c>
      <c r="C2079" t="s">
        <v>6</v>
      </c>
      <c r="D2079" t="s">
        <v>24</v>
      </c>
      <c r="E2079" t="s">
        <v>2217</v>
      </c>
    </row>
    <row r="2080" spans="1:5" x14ac:dyDescent="0.4">
      <c r="A2080" t="s">
        <v>4225</v>
      </c>
      <c r="B2080" t="s">
        <v>4226</v>
      </c>
      <c r="C2080" t="s">
        <v>6</v>
      </c>
      <c r="D2080" t="s">
        <v>16</v>
      </c>
      <c r="E2080" t="s">
        <v>2217</v>
      </c>
    </row>
    <row r="2081" spans="1:7" x14ac:dyDescent="0.4">
      <c r="A2081" t="s">
        <v>4227</v>
      </c>
      <c r="B2081" t="s">
        <v>4228</v>
      </c>
      <c r="C2081" t="s">
        <v>6</v>
      </c>
      <c r="D2081" t="s">
        <v>30</v>
      </c>
      <c r="E2081" t="s">
        <v>2217</v>
      </c>
    </row>
    <row r="2082" spans="1:7" x14ac:dyDescent="0.4">
      <c r="A2082" t="s">
        <v>4229</v>
      </c>
      <c r="B2082" t="s">
        <v>4230</v>
      </c>
      <c r="C2082" t="s">
        <v>39</v>
      </c>
      <c r="E2082" t="s">
        <v>2217</v>
      </c>
      <c r="F2082" t="s">
        <v>56</v>
      </c>
    </row>
    <row r="2083" spans="1:7" x14ac:dyDescent="0.4">
      <c r="A2083" t="s">
        <v>4231</v>
      </c>
      <c r="B2083" t="s">
        <v>4232</v>
      </c>
      <c r="C2083" t="s">
        <v>39</v>
      </c>
      <c r="E2083" t="s">
        <v>2217</v>
      </c>
      <c r="F2083" t="s">
        <v>56</v>
      </c>
    </row>
    <row r="2084" spans="1:7" x14ac:dyDescent="0.4">
      <c r="A2084" t="s">
        <v>4233</v>
      </c>
      <c r="B2084" t="s">
        <v>4234</v>
      </c>
      <c r="C2084" t="s">
        <v>56</v>
      </c>
      <c r="E2084" t="s">
        <v>2217</v>
      </c>
    </row>
    <row r="2085" spans="1:7" x14ac:dyDescent="0.4">
      <c r="A2085" t="s">
        <v>4235</v>
      </c>
      <c r="B2085" t="s">
        <v>4236</v>
      </c>
      <c r="C2085" t="s">
        <v>56</v>
      </c>
      <c r="E2085" t="s">
        <v>2217</v>
      </c>
    </row>
    <row r="2086" spans="1:7" x14ac:dyDescent="0.4">
      <c r="A2086" t="s">
        <v>4237</v>
      </c>
      <c r="B2086" t="s">
        <v>4238</v>
      </c>
      <c r="C2086" t="s">
        <v>39</v>
      </c>
      <c r="E2086" t="s">
        <v>2217</v>
      </c>
      <c r="F2086" t="s">
        <v>56</v>
      </c>
    </row>
    <row r="2087" spans="1:7" x14ac:dyDescent="0.4">
      <c r="A2087" t="s">
        <v>4241</v>
      </c>
      <c r="B2087" t="s">
        <v>4242</v>
      </c>
      <c r="C2087" t="s">
        <v>6</v>
      </c>
      <c r="D2087" t="s">
        <v>10</v>
      </c>
      <c r="E2087" t="s">
        <v>2217</v>
      </c>
    </row>
    <row r="2088" spans="1:7" x14ac:dyDescent="0.4">
      <c r="A2088" t="s">
        <v>4243</v>
      </c>
      <c r="B2088" t="s">
        <v>4244</v>
      </c>
      <c r="C2088" t="s">
        <v>6</v>
      </c>
      <c r="D2088" t="s">
        <v>7</v>
      </c>
      <c r="E2088" t="s">
        <v>2217</v>
      </c>
    </row>
    <row r="2089" spans="1:7" x14ac:dyDescent="0.4">
      <c r="A2089" t="s">
        <v>4245</v>
      </c>
      <c r="B2089" t="s">
        <v>4246</v>
      </c>
      <c r="C2089" t="s">
        <v>6</v>
      </c>
      <c r="D2089" t="s">
        <v>13</v>
      </c>
      <c r="E2089" t="s">
        <v>2217</v>
      </c>
      <c r="G2089" t="s">
        <v>36</v>
      </c>
    </row>
    <row r="2090" spans="1:7" x14ac:dyDescent="0.4">
      <c r="A2090" t="s">
        <v>4247</v>
      </c>
      <c r="B2090" t="s">
        <v>4248</v>
      </c>
      <c r="C2090" t="s">
        <v>6</v>
      </c>
      <c r="D2090" t="s">
        <v>1126</v>
      </c>
      <c r="E2090" t="s">
        <v>2217</v>
      </c>
    </row>
    <row r="2091" spans="1:7" x14ac:dyDescent="0.4">
      <c r="A2091" t="s">
        <v>4249</v>
      </c>
      <c r="B2091" t="s">
        <v>4250</v>
      </c>
      <c r="C2091" t="s">
        <v>6</v>
      </c>
      <c r="D2091" t="s">
        <v>10</v>
      </c>
      <c r="E2091" t="s">
        <v>2217</v>
      </c>
      <c r="G2091" t="s">
        <v>1126</v>
      </c>
    </row>
    <row r="2092" spans="1:7" x14ac:dyDescent="0.4">
      <c r="A2092" t="s">
        <v>4251</v>
      </c>
      <c r="B2092" t="s">
        <v>4252</v>
      </c>
      <c r="C2092" t="s">
        <v>39</v>
      </c>
      <c r="E2092" t="s">
        <v>2217</v>
      </c>
    </row>
    <row r="2093" spans="1:7" x14ac:dyDescent="0.4">
      <c r="A2093" t="s">
        <v>4253</v>
      </c>
      <c r="B2093" t="s">
        <v>4254</v>
      </c>
      <c r="C2093" t="s">
        <v>39</v>
      </c>
      <c r="E2093" t="s">
        <v>2217</v>
      </c>
    </row>
    <row r="2094" spans="1:7" x14ac:dyDescent="0.4">
      <c r="A2094" t="s">
        <v>4255</v>
      </c>
      <c r="B2094" t="s">
        <v>4256</v>
      </c>
      <c r="C2094" t="s">
        <v>39</v>
      </c>
      <c r="E2094" t="s">
        <v>2217</v>
      </c>
    </row>
    <row r="2095" spans="1:7" x14ac:dyDescent="0.4">
      <c r="A2095" t="s">
        <v>4257</v>
      </c>
      <c r="B2095" t="s">
        <v>4258</v>
      </c>
      <c r="C2095" t="s">
        <v>39</v>
      </c>
      <c r="E2095" t="s">
        <v>2217</v>
      </c>
    </row>
    <row r="2096" spans="1:7" x14ac:dyDescent="0.4">
      <c r="A2096" t="s">
        <v>4259</v>
      </c>
      <c r="B2096" t="s">
        <v>4260</v>
      </c>
      <c r="C2096" t="s">
        <v>39</v>
      </c>
      <c r="E2096" t="s">
        <v>2217</v>
      </c>
    </row>
    <row r="2097" spans="1:5" x14ac:dyDescent="0.4">
      <c r="A2097" t="s">
        <v>4261</v>
      </c>
      <c r="B2097" t="s">
        <v>4262</v>
      </c>
      <c r="C2097" t="s">
        <v>56</v>
      </c>
      <c r="E2097" t="s">
        <v>2217</v>
      </c>
    </row>
    <row r="2098" spans="1:5" x14ac:dyDescent="0.4">
      <c r="A2098" t="s">
        <v>4263</v>
      </c>
      <c r="B2098" t="s">
        <v>4264</v>
      </c>
      <c r="C2098" t="s">
        <v>56</v>
      </c>
      <c r="E2098" t="s">
        <v>2217</v>
      </c>
    </row>
    <row r="2099" spans="1:5" x14ac:dyDescent="0.4">
      <c r="A2099" t="s">
        <v>4265</v>
      </c>
      <c r="B2099" t="s">
        <v>4266</v>
      </c>
      <c r="C2099" t="s">
        <v>56</v>
      </c>
      <c r="E2099" t="s">
        <v>2217</v>
      </c>
    </row>
    <row r="2100" spans="1:5" x14ac:dyDescent="0.4">
      <c r="A2100" t="s">
        <v>4267</v>
      </c>
      <c r="B2100" t="s">
        <v>4268</v>
      </c>
      <c r="C2100" t="s">
        <v>56</v>
      </c>
      <c r="E2100" t="s">
        <v>2217</v>
      </c>
    </row>
    <row r="2101" spans="1:5" x14ac:dyDescent="0.4">
      <c r="A2101" t="s">
        <v>4269</v>
      </c>
      <c r="B2101" t="s">
        <v>4270</v>
      </c>
      <c r="C2101" t="s">
        <v>56</v>
      </c>
      <c r="E2101" t="s">
        <v>2217</v>
      </c>
    </row>
    <row r="2102" spans="1:5" x14ac:dyDescent="0.4">
      <c r="A2102" t="s">
        <v>4271</v>
      </c>
      <c r="B2102" t="s">
        <v>4272</v>
      </c>
      <c r="C2102" t="s">
        <v>6</v>
      </c>
      <c r="D2102" t="s">
        <v>1126</v>
      </c>
      <c r="E2102" t="s">
        <v>2217</v>
      </c>
    </row>
    <row r="2103" spans="1:5" x14ac:dyDescent="0.4">
      <c r="A2103" t="s">
        <v>4273</v>
      </c>
      <c r="B2103" t="s">
        <v>4274</v>
      </c>
      <c r="C2103" t="s">
        <v>6</v>
      </c>
      <c r="D2103" t="s">
        <v>36</v>
      </c>
      <c r="E2103" t="s">
        <v>2217</v>
      </c>
    </row>
    <row r="2104" spans="1:5" x14ac:dyDescent="0.4">
      <c r="A2104" t="s">
        <v>4275</v>
      </c>
      <c r="B2104" t="s">
        <v>4276</v>
      </c>
      <c r="C2104" t="s">
        <v>6</v>
      </c>
      <c r="D2104" t="s">
        <v>10</v>
      </c>
      <c r="E2104" t="s">
        <v>2217</v>
      </c>
    </row>
    <row r="2105" spans="1:5" x14ac:dyDescent="0.4">
      <c r="A2105" t="s">
        <v>4277</v>
      </c>
      <c r="B2105" t="s">
        <v>4278</v>
      </c>
      <c r="C2105" t="s">
        <v>6</v>
      </c>
      <c r="D2105" t="s">
        <v>16</v>
      </c>
      <c r="E2105" t="s">
        <v>2217</v>
      </c>
    </row>
    <row r="2106" spans="1:5" x14ac:dyDescent="0.4">
      <c r="A2106" t="s">
        <v>4279</v>
      </c>
      <c r="B2106" t="s">
        <v>4280</v>
      </c>
      <c r="C2106" t="s">
        <v>6</v>
      </c>
      <c r="D2106" t="s">
        <v>33</v>
      </c>
      <c r="E2106" t="s">
        <v>2217</v>
      </c>
    </row>
    <row r="2107" spans="1:5" x14ac:dyDescent="0.4">
      <c r="A2107" t="s">
        <v>4281</v>
      </c>
      <c r="B2107" t="s">
        <v>4282</v>
      </c>
      <c r="C2107" t="s">
        <v>39</v>
      </c>
      <c r="E2107" t="s">
        <v>2217</v>
      </c>
    </row>
    <row r="2108" spans="1:5" x14ac:dyDescent="0.4">
      <c r="A2108" t="s">
        <v>4283</v>
      </c>
      <c r="B2108" t="s">
        <v>4284</v>
      </c>
      <c r="C2108" t="s">
        <v>39</v>
      </c>
      <c r="E2108" t="s">
        <v>2217</v>
      </c>
    </row>
    <row r="2109" spans="1:5" x14ac:dyDescent="0.4">
      <c r="A2109" t="s">
        <v>4285</v>
      </c>
      <c r="B2109" t="s">
        <v>4286</v>
      </c>
      <c r="C2109" t="s">
        <v>39</v>
      </c>
      <c r="E2109" t="s">
        <v>2217</v>
      </c>
    </row>
    <row r="2110" spans="1:5" x14ac:dyDescent="0.4">
      <c r="A2110" t="s">
        <v>4287</v>
      </c>
      <c r="B2110" t="s">
        <v>4288</v>
      </c>
      <c r="C2110" t="s">
        <v>39</v>
      </c>
      <c r="E2110" t="s">
        <v>2217</v>
      </c>
    </row>
    <row r="2111" spans="1:5" x14ac:dyDescent="0.4">
      <c r="A2111" t="s">
        <v>4289</v>
      </c>
      <c r="B2111" t="s">
        <v>4290</v>
      </c>
      <c r="C2111" t="s">
        <v>39</v>
      </c>
      <c r="E2111" t="s">
        <v>2217</v>
      </c>
    </row>
    <row r="2112" spans="1:5" x14ac:dyDescent="0.4">
      <c r="A2112" t="s">
        <v>4291</v>
      </c>
      <c r="B2112" t="s">
        <v>4292</v>
      </c>
      <c r="C2112" t="s">
        <v>56</v>
      </c>
      <c r="E2112" t="s">
        <v>2217</v>
      </c>
    </row>
    <row r="2113" spans="1:5" x14ac:dyDescent="0.4">
      <c r="A2113" t="s">
        <v>4293</v>
      </c>
      <c r="B2113" t="s">
        <v>4294</v>
      </c>
      <c r="C2113" t="s">
        <v>56</v>
      </c>
      <c r="E2113" t="s">
        <v>2217</v>
      </c>
    </row>
    <row r="2114" spans="1:5" x14ac:dyDescent="0.4">
      <c r="A2114" t="s">
        <v>4295</v>
      </c>
      <c r="B2114" t="s">
        <v>4296</v>
      </c>
      <c r="C2114" t="s">
        <v>56</v>
      </c>
      <c r="E2114" t="s">
        <v>2217</v>
      </c>
    </row>
    <row r="2115" spans="1:5" x14ac:dyDescent="0.4">
      <c r="A2115" t="s">
        <v>4297</v>
      </c>
      <c r="B2115" t="s">
        <v>4298</v>
      </c>
      <c r="C2115" t="s">
        <v>56</v>
      </c>
      <c r="E2115" t="s">
        <v>2217</v>
      </c>
    </row>
    <row r="2116" spans="1:5" x14ac:dyDescent="0.4">
      <c r="A2116" t="s">
        <v>4299</v>
      </c>
      <c r="B2116" t="s">
        <v>4300</v>
      </c>
      <c r="C2116" t="s">
        <v>56</v>
      </c>
      <c r="E2116" t="s">
        <v>2217</v>
      </c>
    </row>
    <row r="2117" spans="1:5" x14ac:dyDescent="0.4">
      <c r="A2117" t="s">
        <v>4301</v>
      </c>
      <c r="B2117" t="s">
        <v>4302</v>
      </c>
      <c r="C2117" t="s">
        <v>6</v>
      </c>
      <c r="D2117" t="s">
        <v>13</v>
      </c>
      <c r="E2117" t="s">
        <v>2214</v>
      </c>
    </row>
    <row r="2118" spans="1:5" x14ac:dyDescent="0.4">
      <c r="A2118" t="s">
        <v>4303</v>
      </c>
      <c r="B2118" t="s">
        <v>4304</v>
      </c>
      <c r="C2118" t="s">
        <v>6</v>
      </c>
      <c r="D2118" t="s">
        <v>7</v>
      </c>
      <c r="E2118" t="s">
        <v>2214</v>
      </c>
    </row>
    <row r="2119" spans="1:5" x14ac:dyDescent="0.4">
      <c r="A2119" t="s">
        <v>4305</v>
      </c>
      <c r="B2119" t="s">
        <v>4306</v>
      </c>
      <c r="C2119" t="s">
        <v>6</v>
      </c>
      <c r="D2119" t="s">
        <v>16</v>
      </c>
      <c r="E2119" t="s">
        <v>2214</v>
      </c>
    </row>
    <row r="2120" spans="1:5" x14ac:dyDescent="0.4">
      <c r="A2120" t="s">
        <v>4307</v>
      </c>
      <c r="B2120" t="s">
        <v>4308</v>
      </c>
      <c r="C2120" t="s">
        <v>6</v>
      </c>
      <c r="D2120" t="s">
        <v>36</v>
      </c>
      <c r="E2120" t="s">
        <v>2214</v>
      </c>
    </row>
    <row r="2121" spans="1:5" x14ac:dyDescent="0.4">
      <c r="A2121" t="s">
        <v>4309</v>
      </c>
      <c r="B2121" t="s">
        <v>4310</v>
      </c>
      <c r="C2121" t="s">
        <v>6</v>
      </c>
      <c r="D2121" t="s">
        <v>21</v>
      </c>
      <c r="E2121" t="s">
        <v>2214</v>
      </c>
    </row>
    <row r="2122" spans="1:5" x14ac:dyDescent="0.4">
      <c r="A2122" t="s">
        <v>4311</v>
      </c>
      <c r="B2122" t="s">
        <v>4312</v>
      </c>
      <c r="C2122" t="s">
        <v>6</v>
      </c>
      <c r="D2122" t="s">
        <v>24</v>
      </c>
      <c r="E2122" t="s">
        <v>2214</v>
      </c>
    </row>
    <row r="2123" spans="1:5" x14ac:dyDescent="0.4">
      <c r="A2123" t="s">
        <v>4313</v>
      </c>
      <c r="B2123" t="s">
        <v>4314</v>
      </c>
      <c r="C2123" t="s">
        <v>6</v>
      </c>
      <c r="D2123" t="s">
        <v>27</v>
      </c>
      <c r="E2123" t="s">
        <v>2214</v>
      </c>
    </row>
    <row r="2124" spans="1:5" x14ac:dyDescent="0.4">
      <c r="A2124" t="s">
        <v>4315</v>
      </c>
      <c r="B2124" t="s">
        <v>4316</v>
      </c>
      <c r="C2124" t="s">
        <v>6</v>
      </c>
      <c r="D2124" t="s">
        <v>30</v>
      </c>
      <c r="E2124" t="s">
        <v>2214</v>
      </c>
    </row>
    <row r="2125" spans="1:5" x14ac:dyDescent="0.4">
      <c r="A2125" t="s">
        <v>4317</v>
      </c>
      <c r="B2125" t="s">
        <v>4318</v>
      </c>
      <c r="C2125" t="s">
        <v>6</v>
      </c>
      <c r="D2125" t="s">
        <v>1126</v>
      </c>
      <c r="E2125" t="s">
        <v>2214</v>
      </c>
    </row>
    <row r="2126" spans="1:5" x14ac:dyDescent="0.4">
      <c r="A2126" t="s">
        <v>4319</v>
      </c>
      <c r="B2126" t="s">
        <v>4320</v>
      </c>
      <c r="C2126" t="s">
        <v>6</v>
      </c>
      <c r="D2126" t="s">
        <v>33</v>
      </c>
      <c r="E2126" t="s">
        <v>2214</v>
      </c>
    </row>
    <row r="2127" spans="1:5" x14ac:dyDescent="0.4">
      <c r="A2127" t="s">
        <v>4321</v>
      </c>
      <c r="B2127" t="s">
        <v>4322</v>
      </c>
      <c r="C2127" t="s">
        <v>39</v>
      </c>
      <c r="E2127" t="s">
        <v>2214</v>
      </c>
    </row>
    <row r="2128" spans="1:5" x14ac:dyDescent="0.4">
      <c r="A2128" t="s">
        <v>4323</v>
      </c>
      <c r="B2128" t="s">
        <v>4324</v>
      </c>
      <c r="C2128" t="s">
        <v>39</v>
      </c>
      <c r="E2128" t="s">
        <v>2214</v>
      </c>
    </row>
    <row r="2129" spans="1:6" x14ac:dyDescent="0.4">
      <c r="A2129" t="s">
        <v>4325</v>
      </c>
      <c r="B2129" t="s">
        <v>4326</v>
      </c>
      <c r="C2129" t="s">
        <v>39</v>
      </c>
      <c r="E2129" t="s">
        <v>2214</v>
      </c>
    </row>
    <row r="2130" spans="1:6" x14ac:dyDescent="0.4">
      <c r="A2130" t="s">
        <v>4327</v>
      </c>
      <c r="B2130" t="s">
        <v>4328</v>
      </c>
      <c r="C2130" t="s">
        <v>39</v>
      </c>
      <c r="E2130" t="s">
        <v>2214</v>
      </c>
    </row>
    <row r="2131" spans="1:6" x14ac:dyDescent="0.4">
      <c r="A2131" t="s">
        <v>4329</v>
      </c>
      <c r="B2131" t="s">
        <v>4330</v>
      </c>
      <c r="C2131" t="s">
        <v>39</v>
      </c>
      <c r="E2131" t="s">
        <v>2214</v>
      </c>
    </row>
    <row r="2132" spans="1:6" x14ac:dyDescent="0.4">
      <c r="A2132" t="s">
        <v>4331</v>
      </c>
      <c r="B2132" t="s">
        <v>4332</v>
      </c>
      <c r="C2132" t="s">
        <v>39</v>
      </c>
      <c r="E2132" t="s">
        <v>2214</v>
      </c>
    </row>
    <row r="2133" spans="1:6" x14ac:dyDescent="0.4">
      <c r="A2133" t="s">
        <v>4333</v>
      </c>
      <c r="B2133" t="s">
        <v>4334</v>
      </c>
      <c r="C2133" t="s">
        <v>39</v>
      </c>
      <c r="E2133" t="s">
        <v>2214</v>
      </c>
    </row>
    <row r="2134" spans="1:6" x14ac:dyDescent="0.4">
      <c r="A2134" t="s">
        <v>4335</v>
      </c>
      <c r="B2134" t="s">
        <v>4336</v>
      </c>
      <c r="C2134" t="s">
        <v>39</v>
      </c>
      <c r="E2134" t="s">
        <v>2214</v>
      </c>
    </row>
    <row r="2135" spans="1:6" x14ac:dyDescent="0.4">
      <c r="A2135" t="s">
        <v>4337</v>
      </c>
      <c r="B2135" t="s">
        <v>4338</v>
      </c>
      <c r="C2135" t="s">
        <v>39</v>
      </c>
      <c r="E2135" t="s">
        <v>2214</v>
      </c>
    </row>
    <row r="2136" spans="1:6" x14ac:dyDescent="0.4">
      <c r="A2136" t="s">
        <v>4339</v>
      </c>
      <c r="B2136" t="s">
        <v>4340</v>
      </c>
      <c r="C2136" t="s">
        <v>39</v>
      </c>
      <c r="E2136" t="s">
        <v>2214</v>
      </c>
      <c r="F2136" t="s">
        <v>56</v>
      </c>
    </row>
    <row r="2137" spans="1:6" x14ac:dyDescent="0.4">
      <c r="A2137" t="s">
        <v>4341</v>
      </c>
      <c r="B2137" t="s">
        <v>4342</v>
      </c>
      <c r="C2137" t="s">
        <v>39</v>
      </c>
      <c r="E2137" t="s">
        <v>2214</v>
      </c>
      <c r="F2137" t="s">
        <v>56</v>
      </c>
    </row>
    <row r="2138" spans="1:6" x14ac:dyDescent="0.4">
      <c r="A2138" t="s">
        <v>4343</v>
      </c>
      <c r="B2138" t="s">
        <v>4344</v>
      </c>
      <c r="C2138" t="s">
        <v>39</v>
      </c>
      <c r="E2138" t="s">
        <v>2214</v>
      </c>
      <c r="F2138" t="s">
        <v>56</v>
      </c>
    </row>
    <row r="2139" spans="1:6" x14ac:dyDescent="0.4">
      <c r="A2139" t="s">
        <v>4345</v>
      </c>
      <c r="B2139" t="s">
        <v>4346</v>
      </c>
      <c r="C2139" t="s">
        <v>39</v>
      </c>
      <c r="D2139" t="s">
        <v>1126</v>
      </c>
      <c r="E2139" t="s">
        <v>2214</v>
      </c>
      <c r="F2139" t="s">
        <v>56</v>
      </c>
    </row>
    <row r="2140" spans="1:6" x14ac:dyDescent="0.4">
      <c r="A2140" t="s">
        <v>4347</v>
      </c>
      <c r="B2140" t="s">
        <v>4348</v>
      </c>
      <c r="C2140" t="s">
        <v>39</v>
      </c>
      <c r="E2140" t="s">
        <v>2214</v>
      </c>
      <c r="F2140" t="s">
        <v>56</v>
      </c>
    </row>
    <row r="2141" spans="1:6" x14ac:dyDescent="0.4">
      <c r="A2141" t="s">
        <v>4349</v>
      </c>
      <c r="B2141" t="s">
        <v>4350</v>
      </c>
      <c r="C2141" t="s">
        <v>39</v>
      </c>
      <c r="E2141" t="s">
        <v>2214</v>
      </c>
      <c r="F2141" t="s">
        <v>56</v>
      </c>
    </row>
    <row r="2142" spans="1:6" x14ac:dyDescent="0.4">
      <c r="A2142" t="s">
        <v>4351</v>
      </c>
      <c r="B2142" t="s">
        <v>4352</v>
      </c>
      <c r="C2142" t="s">
        <v>39</v>
      </c>
      <c r="E2142" t="s">
        <v>2214</v>
      </c>
      <c r="F2142" t="s">
        <v>56</v>
      </c>
    </row>
    <row r="2143" spans="1:6" x14ac:dyDescent="0.4">
      <c r="A2143" t="s">
        <v>4353</v>
      </c>
      <c r="B2143" t="s">
        <v>4354</v>
      </c>
      <c r="C2143" t="s">
        <v>39</v>
      </c>
      <c r="E2143" t="s">
        <v>2214</v>
      </c>
      <c r="F2143" t="s">
        <v>56</v>
      </c>
    </row>
    <row r="2144" spans="1:6" x14ac:dyDescent="0.4">
      <c r="A2144" t="s">
        <v>4355</v>
      </c>
      <c r="B2144" t="s">
        <v>4356</v>
      </c>
      <c r="C2144" t="s">
        <v>56</v>
      </c>
      <c r="E2144" t="s">
        <v>2214</v>
      </c>
    </row>
    <row r="2145" spans="1:6" x14ac:dyDescent="0.4">
      <c r="A2145" t="s">
        <v>4357</v>
      </c>
      <c r="B2145" t="s">
        <v>4358</v>
      </c>
      <c r="C2145" t="s">
        <v>39</v>
      </c>
      <c r="E2145" t="s">
        <v>2214</v>
      </c>
      <c r="F2145" t="s">
        <v>56</v>
      </c>
    </row>
    <row r="2146" spans="1:6" x14ac:dyDescent="0.4">
      <c r="A2146" t="s">
        <v>4355</v>
      </c>
      <c r="B2146" t="s">
        <v>4356</v>
      </c>
      <c r="C2146" t="s">
        <v>56</v>
      </c>
      <c r="E2146" t="s">
        <v>2214</v>
      </c>
    </row>
    <row r="2147" spans="1:6" x14ac:dyDescent="0.4">
      <c r="A2147" t="s">
        <v>4357</v>
      </c>
      <c r="B2147" t="s">
        <v>4358</v>
      </c>
      <c r="C2147" t="s">
        <v>39</v>
      </c>
      <c r="E2147" t="s">
        <v>2214</v>
      </c>
      <c r="F2147" t="s">
        <v>56</v>
      </c>
    </row>
    <row r="2148" spans="1:6" x14ac:dyDescent="0.4">
      <c r="A2148" t="s">
        <v>4359</v>
      </c>
      <c r="B2148" t="s">
        <v>4360</v>
      </c>
      <c r="C2148" t="s">
        <v>56</v>
      </c>
      <c r="E2148" t="s">
        <v>2214</v>
      </c>
    </row>
    <row r="2149" spans="1:6" x14ac:dyDescent="0.4">
      <c r="A2149" t="s">
        <v>4361</v>
      </c>
      <c r="B2149" t="s">
        <v>4362</v>
      </c>
      <c r="C2149" t="s">
        <v>39</v>
      </c>
      <c r="E2149" t="s">
        <v>2214</v>
      </c>
      <c r="F2149" t="s">
        <v>56</v>
      </c>
    </row>
    <row r="2150" spans="1:6" x14ac:dyDescent="0.4">
      <c r="A2150" t="s">
        <v>4363</v>
      </c>
      <c r="B2150" t="s">
        <v>4364</v>
      </c>
      <c r="C2150" t="s">
        <v>56</v>
      </c>
      <c r="E2150" t="s">
        <v>2214</v>
      </c>
    </row>
    <row r="2151" spans="1:6" x14ac:dyDescent="0.4">
      <c r="A2151" t="s">
        <v>4365</v>
      </c>
      <c r="B2151" t="s">
        <v>4366</v>
      </c>
      <c r="C2151" t="s">
        <v>56</v>
      </c>
      <c r="E2151" t="s">
        <v>2214</v>
      </c>
    </row>
    <row r="2152" spans="1:6" x14ac:dyDescent="0.4">
      <c r="A2152" t="s">
        <v>4367</v>
      </c>
      <c r="B2152" t="s">
        <v>4368</v>
      </c>
      <c r="C2152" t="s">
        <v>56</v>
      </c>
      <c r="E2152" t="s">
        <v>2214</v>
      </c>
    </row>
    <row r="2153" spans="1:6" x14ac:dyDescent="0.4">
      <c r="A2153" t="s">
        <v>4369</v>
      </c>
      <c r="B2153" t="s">
        <v>4370</v>
      </c>
      <c r="C2153" t="s">
        <v>56</v>
      </c>
      <c r="E2153" t="s">
        <v>2214</v>
      </c>
    </row>
    <row r="2154" spans="1:6" x14ac:dyDescent="0.4">
      <c r="A2154" t="s">
        <v>4371</v>
      </c>
      <c r="B2154" t="s">
        <v>4372</v>
      </c>
      <c r="C2154" t="s">
        <v>56</v>
      </c>
      <c r="E2154" t="s">
        <v>2214</v>
      </c>
    </row>
    <row r="2155" spans="1:6" x14ac:dyDescent="0.4">
      <c r="A2155" t="s">
        <v>4373</v>
      </c>
      <c r="B2155" t="s">
        <v>4374</v>
      </c>
      <c r="C2155" t="s">
        <v>56</v>
      </c>
      <c r="E2155" t="s">
        <v>2214</v>
      </c>
    </row>
    <row r="2156" spans="1:6" x14ac:dyDescent="0.4">
      <c r="A2156" t="s">
        <v>4375</v>
      </c>
      <c r="B2156" t="s">
        <v>4376</v>
      </c>
      <c r="C2156" t="s">
        <v>56</v>
      </c>
      <c r="E2156" t="s">
        <v>2214</v>
      </c>
    </row>
    <row r="2157" spans="1:6" x14ac:dyDescent="0.4">
      <c r="A2157" t="s">
        <v>4377</v>
      </c>
      <c r="B2157" t="s">
        <v>4378</v>
      </c>
      <c r="C2157" t="s">
        <v>56</v>
      </c>
      <c r="E2157" t="s">
        <v>2214</v>
      </c>
    </row>
    <row r="2158" spans="1:6" x14ac:dyDescent="0.4">
      <c r="A2158" t="s">
        <v>4379</v>
      </c>
      <c r="B2158" t="s">
        <v>4380</v>
      </c>
      <c r="C2158" t="s">
        <v>6</v>
      </c>
      <c r="D2158" t="s">
        <v>16</v>
      </c>
      <c r="E2158" t="s">
        <v>2214</v>
      </c>
    </row>
    <row r="2159" spans="1:6" x14ac:dyDescent="0.4">
      <c r="A2159" t="s">
        <v>4381</v>
      </c>
      <c r="B2159" t="s">
        <v>4382</v>
      </c>
      <c r="C2159" t="s">
        <v>6</v>
      </c>
      <c r="D2159" t="s">
        <v>10</v>
      </c>
      <c r="E2159" t="s">
        <v>2214</v>
      </c>
    </row>
    <row r="2160" spans="1:6" x14ac:dyDescent="0.4">
      <c r="A2160" t="s">
        <v>4383</v>
      </c>
      <c r="B2160" t="s">
        <v>4384</v>
      </c>
      <c r="C2160" t="s">
        <v>6</v>
      </c>
      <c r="D2160" t="s">
        <v>13</v>
      </c>
      <c r="E2160" t="s">
        <v>2214</v>
      </c>
    </row>
    <row r="2161" spans="1:5" x14ac:dyDescent="0.4">
      <c r="A2161" t="s">
        <v>4385</v>
      </c>
      <c r="B2161" t="s">
        <v>4386</v>
      </c>
      <c r="C2161" t="s">
        <v>6</v>
      </c>
      <c r="D2161" t="s">
        <v>7</v>
      </c>
      <c r="E2161" t="s">
        <v>2214</v>
      </c>
    </row>
    <row r="2162" spans="1:5" x14ac:dyDescent="0.4">
      <c r="A2162" t="s">
        <v>4387</v>
      </c>
      <c r="B2162" t="s">
        <v>4388</v>
      </c>
      <c r="C2162" t="s">
        <v>6</v>
      </c>
      <c r="D2162" t="s">
        <v>36</v>
      </c>
      <c r="E2162" t="s">
        <v>2214</v>
      </c>
    </row>
    <row r="2163" spans="1:5" x14ac:dyDescent="0.4">
      <c r="A2163" t="s">
        <v>4389</v>
      </c>
      <c r="B2163" t="s">
        <v>4390</v>
      </c>
      <c r="C2163" t="s">
        <v>6</v>
      </c>
      <c r="D2163" t="s">
        <v>21</v>
      </c>
      <c r="E2163" t="s">
        <v>2214</v>
      </c>
    </row>
    <row r="2164" spans="1:5" x14ac:dyDescent="0.4">
      <c r="A2164" t="s">
        <v>4391</v>
      </c>
      <c r="B2164" t="s">
        <v>4392</v>
      </c>
      <c r="C2164" t="s">
        <v>6</v>
      </c>
      <c r="D2164" t="s">
        <v>24</v>
      </c>
      <c r="E2164" t="s">
        <v>2214</v>
      </c>
    </row>
    <row r="2165" spans="1:5" x14ac:dyDescent="0.4">
      <c r="A2165" t="s">
        <v>4393</v>
      </c>
      <c r="B2165" t="s">
        <v>4394</v>
      </c>
      <c r="C2165" t="s">
        <v>6</v>
      </c>
      <c r="D2165" t="s">
        <v>27</v>
      </c>
      <c r="E2165" t="s">
        <v>2214</v>
      </c>
    </row>
    <row r="2166" spans="1:5" x14ac:dyDescent="0.4">
      <c r="A2166" t="s">
        <v>4395</v>
      </c>
      <c r="B2166" t="s">
        <v>4396</v>
      </c>
      <c r="C2166" t="s">
        <v>6</v>
      </c>
      <c r="D2166" t="s">
        <v>30</v>
      </c>
      <c r="E2166" t="s">
        <v>2214</v>
      </c>
    </row>
    <row r="2167" spans="1:5" x14ac:dyDescent="0.4">
      <c r="A2167" t="s">
        <v>4397</v>
      </c>
      <c r="B2167" t="s">
        <v>4398</v>
      </c>
      <c r="C2167" t="s">
        <v>6</v>
      </c>
      <c r="D2167" t="s">
        <v>33</v>
      </c>
      <c r="E2167" t="s">
        <v>2214</v>
      </c>
    </row>
    <row r="2168" spans="1:5" x14ac:dyDescent="0.4">
      <c r="A2168" t="s">
        <v>4399</v>
      </c>
      <c r="B2168" t="s">
        <v>4400</v>
      </c>
      <c r="C2168" t="s">
        <v>39</v>
      </c>
      <c r="E2168" t="s">
        <v>2214</v>
      </c>
    </row>
    <row r="2169" spans="1:5" x14ac:dyDescent="0.4">
      <c r="A2169" t="s">
        <v>4401</v>
      </c>
      <c r="B2169" t="s">
        <v>4402</v>
      </c>
      <c r="C2169" t="s">
        <v>39</v>
      </c>
      <c r="E2169" t="s">
        <v>2214</v>
      </c>
    </row>
    <row r="2170" spans="1:5" x14ac:dyDescent="0.4">
      <c r="A2170" t="s">
        <v>4403</v>
      </c>
      <c r="B2170" t="s">
        <v>4404</v>
      </c>
      <c r="C2170" t="s">
        <v>39</v>
      </c>
      <c r="E2170" t="s">
        <v>2214</v>
      </c>
    </row>
    <row r="2171" spans="1:5" x14ac:dyDescent="0.4">
      <c r="A2171" t="s">
        <v>4405</v>
      </c>
      <c r="B2171" t="s">
        <v>4406</v>
      </c>
      <c r="C2171" t="s">
        <v>39</v>
      </c>
      <c r="E2171" t="s">
        <v>2214</v>
      </c>
    </row>
    <row r="2172" spans="1:5" x14ac:dyDescent="0.4">
      <c r="A2172" t="s">
        <v>4407</v>
      </c>
      <c r="B2172" t="s">
        <v>4408</v>
      </c>
      <c r="C2172" t="s">
        <v>39</v>
      </c>
      <c r="E2172" t="s">
        <v>2214</v>
      </c>
    </row>
    <row r="2173" spans="1:5" x14ac:dyDescent="0.4">
      <c r="A2173" t="s">
        <v>4409</v>
      </c>
      <c r="B2173" t="s">
        <v>4410</v>
      </c>
      <c r="C2173" t="s">
        <v>39</v>
      </c>
      <c r="E2173" t="s">
        <v>2214</v>
      </c>
    </row>
    <row r="2174" spans="1:5" x14ac:dyDescent="0.4">
      <c r="A2174" t="s">
        <v>4411</v>
      </c>
      <c r="B2174" t="s">
        <v>4412</v>
      </c>
      <c r="C2174" t="s">
        <v>39</v>
      </c>
      <c r="E2174" t="s">
        <v>2214</v>
      </c>
    </row>
    <row r="2175" spans="1:5" x14ac:dyDescent="0.4">
      <c r="A2175" t="s">
        <v>4413</v>
      </c>
      <c r="B2175" t="s">
        <v>4414</v>
      </c>
      <c r="C2175" t="s">
        <v>39</v>
      </c>
      <c r="E2175" t="s">
        <v>2214</v>
      </c>
    </row>
    <row r="2176" spans="1:5" x14ac:dyDescent="0.4">
      <c r="A2176" t="s">
        <v>4415</v>
      </c>
      <c r="B2176" t="s">
        <v>4416</v>
      </c>
      <c r="C2176" t="s">
        <v>39</v>
      </c>
      <c r="E2176" t="s">
        <v>2214</v>
      </c>
    </row>
    <row r="2177" spans="1:6" x14ac:dyDescent="0.4">
      <c r="A2177" t="s">
        <v>4417</v>
      </c>
      <c r="B2177" t="s">
        <v>4418</v>
      </c>
      <c r="C2177" t="s">
        <v>39</v>
      </c>
      <c r="E2177" t="s">
        <v>2214</v>
      </c>
    </row>
    <row r="2178" spans="1:6" x14ac:dyDescent="0.4">
      <c r="A2178" t="s">
        <v>4419</v>
      </c>
      <c r="B2178" t="s">
        <v>4420</v>
      </c>
      <c r="C2178" t="s">
        <v>39</v>
      </c>
      <c r="E2178" t="s">
        <v>2214</v>
      </c>
      <c r="F2178" t="s">
        <v>56</v>
      </c>
    </row>
    <row r="2179" spans="1:6" x14ac:dyDescent="0.4">
      <c r="A2179" t="s">
        <v>4421</v>
      </c>
      <c r="B2179" t="s">
        <v>4422</v>
      </c>
      <c r="C2179" t="s">
        <v>39</v>
      </c>
      <c r="E2179" t="s">
        <v>2214</v>
      </c>
      <c r="F2179" t="s">
        <v>56</v>
      </c>
    </row>
    <row r="2180" spans="1:6" x14ac:dyDescent="0.4">
      <c r="A2180" t="s">
        <v>4423</v>
      </c>
      <c r="B2180" t="s">
        <v>4424</v>
      </c>
      <c r="C2180" t="s">
        <v>56</v>
      </c>
      <c r="E2180" t="s">
        <v>2214</v>
      </c>
    </row>
    <row r="2181" spans="1:6" x14ac:dyDescent="0.4">
      <c r="A2181" t="s">
        <v>4425</v>
      </c>
      <c r="B2181" t="s">
        <v>4426</v>
      </c>
      <c r="C2181" t="s">
        <v>39</v>
      </c>
      <c r="E2181" t="s">
        <v>2214</v>
      </c>
      <c r="F2181" t="s">
        <v>56</v>
      </c>
    </row>
    <row r="2182" spans="1:6" x14ac:dyDescent="0.4">
      <c r="A2182" t="s">
        <v>4427</v>
      </c>
      <c r="B2182" t="s">
        <v>4428</v>
      </c>
      <c r="C2182" t="s">
        <v>39</v>
      </c>
      <c r="E2182" t="s">
        <v>2214</v>
      </c>
      <c r="F2182" t="s">
        <v>56</v>
      </c>
    </row>
    <row r="2183" spans="1:6" x14ac:dyDescent="0.4">
      <c r="A2183" t="s">
        <v>4429</v>
      </c>
      <c r="B2183" t="s">
        <v>4430</v>
      </c>
      <c r="C2183" t="s">
        <v>56</v>
      </c>
      <c r="E2183" t="s">
        <v>2214</v>
      </c>
    </row>
    <row r="2184" spans="1:6" x14ac:dyDescent="0.4">
      <c r="A2184" t="s">
        <v>4431</v>
      </c>
      <c r="B2184" t="s">
        <v>4432</v>
      </c>
      <c r="C2184" t="s">
        <v>56</v>
      </c>
      <c r="E2184" t="s">
        <v>2214</v>
      </c>
    </row>
    <row r="2185" spans="1:6" x14ac:dyDescent="0.4">
      <c r="A2185" t="s">
        <v>4433</v>
      </c>
      <c r="B2185" t="s">
        <v>4434</v>
      </c>
      <c r="C2185" t="s">
        <v>56</v>
      </c>
      <c r="E2185" t="s">
        <v>2214</v>
      </c>
    </row>
    <row r="2186" spans="1:6" x14ac:dyDescent="0.4">
      <c r="A2186" t="s">
        <v>4435</v>
      </c>
      <c r="B2186" t="s">
        <v>4436</v>
      </c>
      <c r="C2186" t="s">
        <v>39</v>
      </c>
      <c r="E2186" t="s">
        <v>2214</v>
      </c>
      <c r="F2186" t="s">
        <v>56</v>
      </c>
    </row>
    <row r="2187" spans="1:6" x14ac:dyDescent="0.4">
      <c r="A2187" t="s">
        <v>4437</v>
      </c>
      <c r="B2187" t="s">
        <v>4438</v>
      </c>
      <c r="C2187" t="s">
        <v>56</v>
      </c>
      <c r="E2187" t="s">
        <v>2214</v>
      </c>
    </row>
    <row r="2188" spans="1:6" x14ac:dyDescent="0.4">
      <c r="A2188" t="s">
        <v>4439</v>
      </c>
      <c r="B2188" t="s">
        <v>4440</v>
      </c>
      <c r="C2188" t="s">
        <v>6</v>
      </c>
      <c r="D2188" t="s">
        <v>13</v>
      </c>
      <c r="E2188" t="s">
        <v>2214</v>
      </c>
    </row>
    <row r="2189" spans="1:6" x14ac:dyDescent="0.4">
      <c r="A2189" t="s">
        <v>4441</v>
      </c>
      <c r="B2189" t="s">
        <v>4442</v>
      </c>
      <c r="C2189" t="s">
        <v>6</v>
      </c>
      <c r="D2189" t="s">
        <v>7</v>
      </c>
      <c r="E2189" t="s">
        <v>2214</v>
      </c>
    </row>
    <row r="2190" spans="1:6" x14ac:dyDescent="0.4">
      <c r="A2190" t="s">
        <v>4443</v>
      </c>
      <c r="B2190" t="s">
        <v>4444</v>
      </c>
      <c r="C2190" t="s">
        <v>6</v>
      </c>
      <c r="D2190" t="s">
        <v>16</v>
      </c>
      <c r="E2190" t="s">
        <v>2214</v>
      </c>
    </row>
    <row r="2191" spans="1:6" x14ac:dyDescent="0.4">
      <c r="A2191" t="s">
        <v>4445</v>
      </c>
      <c r="B2191" t="s">
        <v>4446</v>
      </c>
      <c r="C2191" t="s">
        <v>6</v>
      </c>
      <c r="D2191" t="s">
        <v>36</v>
      </c>
      <c r="E2191" t="s">
        <v>2214</v>
      </c>
    </row>
    <row r="2192" spans="1:6" x14ac:dyDescent="0.4">
      <c r="A2192" t="s">
        <v>4447</v>
      </c>
      <c r="B2192" t="s">
        <v>4448</v>
      </c>
      <c r="C2192" t="s">
        <v>6</v>
      </c>
      <c r="D2192" t="s">
        <v>21</v>
      </c>
      <c r="E2192" t="s">
        <v>2214</v>
      </c>
    </row>
    <row r="2193" spans="1:6" x14ac:dyDescent="0.4">
      <c r="A2193" t="s">
        <v>4449</v>
      </c>
      <c r="B2193" t="s">
        <v>4450</v>
      </c>
      <c r="C2193" t="s">
        <v>6</v>
      </c>
      <c r="D2193" t="s">
        <v>24</v>
      </c>
      <c r="E2193" t="s">
        <v>2214</v>
      </c>
    </row>
    <row r="2194" spans="1:6" x14ac:dyDescent="0.4">
      <c r="A2194" t="s">
        <v>4451</v>
      </c>
      <c r="B2194" t="s">
        <v>4452</v>
      </c>
      <c r="C2194" t="s">
        <v>6</v>
      </c>
      <c r="D2194" t="s">
        <v>27</v>
      </c>
      <c r="E2194" t="s">
        <v>2214</v>
      </c>
    </row>
    <row r="2195" spans="1:6" x14ac:dyDescent="0.4">
      <c r="A2195" t="s">
        <v>4453</v>
      </c>
      <c r="B2195" t="s">
        <v>4454</v>
      </c>
      <c r="C2195" t="s">
        <v>6</v>
      </c>
      <c r="D2195" t="s">
        <v>30</v>
      </c>
      <c r="E2195" t="s">
        <v>2214</v>
      </c>
    </row>
    <row r="2196" spans="1:6" x14ac:dyDescent="0.4">
      <c r="A2196" t="s">
        <v>4455</v>
      </c>
      <c r="B2196" t="s">
        <v>4456</v>
      </c>
      <c r="C2196" t="s">
        <v>6</v>
      </c>
      <c r="D2196" t="s">
        <v>1126</v>
      </c>
      <c r="E2196" t="s">
        <v>2214</v>
      </c>
    </row>
    <row r="2197" spans="1:6" x14ac:dyDescent="0.4">
      <c r="A2197" t="s">
        <v>4457</v>
      </c>
      <c r="B2197" t="s">
        <v>4458</v>
      </c>
      <c r="C2197" t="s">
        <v>6</v>
      </c>
      <c r="D2197" t="s">
        <v>33</v>
      </c>
      <c r="E2197" t="s">
        <v>2214</v>
      </c>
    </row>
    <row r="2198" spans="1:6" x14ac:dyDescent="0.4">
      <c r="A2198" t="s">
        <v>4459</v>
      </c>
      <c r="B2198" t="s">
        <v>4460</v>
      </c>
      <c r="C2198" t="s">
        <v>39</v>
      </c>
      <c r="E2198" t="s">
        <v>2214</v>
      </c>
    </row>
    <row r="2199" spans="1:6" x14ac:dyDescent="0.4">
      <c r="A2199" t="s">
        <v>4461</v>
      </c>
      <c r="B2199" t="s">
        <v>4462</v>
      </c>
      <c r="C2199" t="s">
        <v>39</v>
      </c>
      <c r="E2199" t="s">
        <v>2214</v>
      </c>
    </row>
    <row r="2200" spans="1:6" x14ac:dyDescent="0.4">
      <c r="A2200" t="s">
        <v>4463</v>
      </c>
      <c r="B2200" t="s">
        <v>4464</v>
      </c>
      <c r="C2200" t="s">
        <v>39</v>
      </c>
      <c r="E2200" t="s">
        <v>2214</v>
      </c>
    </row>
    <row r="2201" spans="1:6" x14ac:dyDescent="0.4">
      <c r="A2201" t="s">
        <v>4465</v>
      </c>
      <c r="B2201" t="s">
        <v>4466</v>
      </c>
      <c r="C2201" t="s">
        <v>39</v>
      </c>
      <c r="E2201" t="s">
        <v>2214</v>
      </c>
    </row>
    <row r="2202" spans="1:6" x14ac:dyDescent="0.4">
      <c r="A2202" t="s">
        <v>4467</v>
      </c>
      <c r="B2202" t="s">
        <v>4468</v>
      </c>
      <c r="C2202" t="s">
        <v>39</v>
      </c>
      <c r="E2202" t="s">
        <v>2214</v>
      </c>
    </row>
    <row r="2203" spans="1:6" x14ac:dyDescent="0.4">
      <c r="A2203" t="s">
        <v>4469</v>
      </c>
      <c r="B2203" t="s">
        <v>4470</v>
      </c>
      <c r="C2203" t="s">
        <v>39</v>
      </c>
      <c r="E2203" t="s">
        <v>2214</v>
      </c>
    </row>
    <row r="2204" spans="1:6" x14ac:dyDescent="0.4">
      <c r="A2204" t="s">
        <v>4471</v>
      </c>
      <c r="B2204" t="s">
        <v>4472</v>
      </c>
      <c r="C2204" t="s">
        <v>39</v>
      </c>
      <c r="E2204" t="s">
        <v>2214</v>
      </c>
    </row>
    <row r="2205" spans="1:6" x14ac:dyDescent="0.4">
      <c r="A2205" t="s">
        <v>4473</v>
      </c>
      <c r="B2205" t="s">
        <v>4474</v>
      </c>
      <c r="C2205" t="s">
        <v>56</v>
      </c>
      <c r="E2205" t="s">
        <v>2214</v>
      </c>
      <c r="F2205" t="s">
        <v>39</v>
      </c>
    </row>
    <row r="2206" spans="1:6" x14ac:dyDescent="0.4">
      <c r="A2206" t="s">
        <v>4475</v>
      </c>
      <c r="B2206" t="s">
        <v>4476</v>
      </c>
      <c r="C2206" t="s">
        <v>39</v>
      </c>
      <c r="E2206" t="s">
        <v>2214</v>
      </c>
    </row>
    <row r="2207" spans="1:6" x14ac:dyDescent="0.4">
      <c r="A2207" t="s">
        <v>4477</v>
      </c>
      <c r="B2207" t="s">
        <v>4478</v>
      </c>
      <c r="C2207" t="s">
        <v>39</v>
      </c>
      <c r="E2207" t="s">
        <v>2214</v>
      </c>
    </row>
    <row r="2208" spans="1:6" x14ac:dyDescent="0.4">
      <c r="A2208" t="s">
        <v>4479</v>
      </c>
      <c r="B2208" t="s">
        <v>4480</v>
      </c>
      <c r="C2208" t="s">
        <v>39</v>
      </c>
      <c r="E2208" t="s">
        <v>2214</v>
      </c>
      <c r="F2208" t="s">
        <v>56</v>
      </c>
    </row>
    <row r="2209" spans="1:5" x14ac:dyDescent="0.4">
      <c r="A2209" t="s">
        <v>4481</v>
      </c>
      <c r="B2209" t="s">
        <v>4482</v>
      </c>
      <c r="C2209" t="s">
        <v>56</v>
      </c>
      <c r="E2209" t="s">
        <v>2214</v>
      </c>
    </row>
    <row r="2210" spans="1:5" x14ac:dyDescent="0.4">
      <c r="A2210" t="s">
        <v>4483</v>
      </c>
      <c r="B2210" t="s">
        <v>4484</v>
      </c>
      <c r="C2210" t="s">
        <v>56</v>
      </c>
      <c r="E2210" t="s">
        <v>2214</v>
      </c>
    </row>
    <row r="2211" spans="1:5" x14ac:dyDescent="0.4">
      <c r="A2211" t="s">
        <v>4485</v>
      </c>
      <c r="B2211" t="s">
        <v>4486</v>
      </c>
      <c r="C2211" t="s">
        <v>56</v>
      </c>
      <c r="E2211" t="s">
        <v>2214</v>
      </c>
    </row>
    <row r="2212" spans="1:5" x14ac:dyDescent="0.4">
      <c r="A2212" t="s">
        <v>4487</v>
      </c>
      <c r="B2212" t="s">
        <v>4488</v>
      </c>
      <c r="C2212" t="s">
        <v>56</v>
      </c>
      <c r="E2212" t="s">
        <v>2214</v>
      </c>
    </row>
    <row r="2213" spans="1:5" x14ac:dyDescent="0.4">
      <c r="A2213" t="s">
        <v>4489</v>
      </c>
      <c r="B2213" t="s">
        <v>4490</v>
      </c>
      <c r="C2213" t="s">
        <v>56</v>
      </c>
      <c r="E2213" t="s">
        <v>2214</v>
      </c>
    </row>
    <row r="2214" spans="1:5" x14ac:dyDescent="0.4">
      <c r="A2214" t="s">
        <v>4491</v>
      </c>
      <c r="B2214" t="s">
        <v>4492</v>
      </c>
      <c r="C2214" t="s">
        <v>56</v>
      </c>
      <c r="E2214" t="s">
        <v>2214</v>
      </c>
    </row>
    <row r="2215" spans="1:5" x14ac:dyDescent="0.4">
      <c r="A2215" t="s">
        <v>4493</v>
      </c>
      <c r="B2215" t="s">
        <v>4494</v>
      </c>
      <c r="C2215" t="s">
        <v>56</v>
      </c>
      <c r="E2215" t="s">
        <v>2214</v>
      </c>
    </row>
    <row r="2216" spans="1:5" x14ac:dyDescent="0.4">
      <c r="A2216" t="s">
        <v>4495</v>
      </c>
      <c r="B2216" t="s">
        <v>4496</v>
      </c>
      <c r="C2216" t="s">
        <v>56</v>
      </c>
      <c r="E2216" t="s">
        <v>2214</v>
      </c>
    </row>
    <row r="2217" spans="1:5" x14ac:dyDescent="0.4">
      <c r="A2217" t="s">
        <v>4497</v>
      </c>
      <c r="B2217" t="s">
        <v>4498</v>
      </c>
      <c r="C2217" t="s">
        <v>56</v>
      </c>
      <c r="E2217" t="s">
        <v>2214</v>
      </c>
    </row>
    <row r="2218" spans="1:5" x14ac:dyDescent="0.4">
      <c r="A2218" t="s">
        <v>4499</v>
      </c>
      <c r="B2218" t="s">
        <v>4500</v>
      </c>
      <c r="C2218" t="s">
        <v>6</v>
      </c>
      <c r="D2218" t="s">
        <v>13</v>
      </c>
      <c r="E2218" t="s">
        <v>2214</v>
      </c>
    </row>
    <row r="2219" spans="1:5" x14ac:dyDescent="0.4">
      <c r="A2219" t="s">
        <v>4501</v>
      </c>
      <c r="B2219" t="s">
        <v>4502</v>
      </c>
      <c r="C2219" t="s">
        <v>6</v>
      </c>
      <c r="D2219" t="s">
        <v>16</v>
      </c>
      <c r="E2219" t="s">
        <v>2214</v>
      </c>
    </row>
    <row r="2220" spans="1:5" x14ac:dyDescent="0.4">
      <c r="A2220" t="s">
        <v>4503</v>
      </c>
      <c r="B2220" t="s">
        <v>4504</v>
      </c>
      <c r="C2220" t="s">
        <v>6</v>
      </c>
      <c r="D2220" t="s">
        <v>16</v>
      </c>
      <c r="E2220" t="s">
        <v>2214</v>
      </c>
    </row>
    <row r="2221" spans="1:5" x14ac:dyDescent="0.4">
      <c r="A2221" t="s">
        <v>4505</v>
      </c>
      <c r="B2221" t="s">
        <v>4506</v>
      </c>
      <c r="C2221" t="s">
        <v>6</v>
      </c>
      <c r="D2221" t="s">
        <v>36</v>
      </c>
      <c r="E2221" t="s">
        <v>2214</v>
      </c>
    </row>
    <row r="2222" spans="1:5" x14ac:dyDescent="0.4">
      <c r="A2222" t="s">
        <v>4507</v>
      </c>
      <c r="B2222" t="s">
        <v>4508</v>
      </c>
      <c r="C2222" t="s">
        <v>6</v>
      </c>
      <c r="D2222" t="s">
        <v>21</v>
      </c>
      <c r="E2222" t="s">
        <v>2214</v>
      </c>
    </row>
    <row r="2223" spans="1:5" x14ac:dyDescent="0.4">
      <c r="A2223" t="s">
        <v>4509</v>
      </c>
      <c r="B2223" t="s">
        <v>4510</v>
      </c>
      <c r="C2223" t="s">
        <v>6</v>
      </c>
      <c r="D2223" t="s">
        <v>24</v>
      </c>
      <c r="E2223" t="s">
        <v>2214</v>
      </c>
    </row>
    <row r="2224" spans="1:5" x14ac:dyDescent="0.4">
      <c r="A2224" t="s">
        <v>4511</v>
      </c>
      <c r="B2224" t="s">
        <v>4512</v>
      </c>
      <c r="C2224" t="s">
        <v>6</v>
      </c>
      <c r="D2224" t="s">
        <v>27</v>
      </c>
      <c r="E2224" t="s">
        <v>2214</v>
      </c>
    </row>
    <row r="2225" spans="1:5" x14ac:dyDescent="0.4">
      <c r="A2225" t="s">
        <v>4513</v>
      </c>
      <c r="B2225" t="s">
        <v>4514</v>
      </c>
      <c r="C2225" t="s">
        <v>6</v>
      </c>
      <c r="D2225" t="s">
        <v>30</v>
      </c>
      <c r="E2225" t="s">
        <v>2214</v>
      </c>
    </row>
    <row r="2226" spans="1:5" x14ac:dyDescent="0.4">
      <c r="A2226" t="s">
        <v>4515</v>
      </c>
      <c r="B2226" t="s">
        <v>4516</v>
      </c>
      <c r="C2226" t="s">
        <v>6</v>
      </c>
      <c r="D2226" t="s">
        <v>10</v>
      </c>
      <c r="E2226" t="s">
        <v>2214</v>
      </c>
    </row>
    <row r="2227" spans="1:5" x14ac:dyDescent="0.4">
      <c r="A2227" t="s">
        <v>4517</v>
      </c>
      <c r="B2227" t="s">
        <v>4518</v>
      </c>
      <c r="C2227" t="s">
        <v>6</v>
      </c>
      <c r="D2227" t="s">
        <v>33</v>
      </c>
      <c r="E2227" t="s">
        <v>2214</v>
      </c>
    </row>
    <row r="2228" spans="1:5" x14ac:dyDescent="0.4">
      <c r="A2228" t="s">
        <v>4519</v>
      </c>
      <c r="B2228" t="s">
        <v>4520</v>
      </c>
      <c r="C2228" t="s">
        <v>39</v>
      </c>
      <c r="E2228" t="s">
        <v>2214</v>
      </c>
    </row>
    <row r="2229" spans="1:5" x14ac:dyDescent="0.4">
      <c r="A2229" t="s">
        <v>4521</v>
      </c>
      <c r="B2229" t="s">
        <v>4522</v>
      </c>
      <c r="C2229" t="s">
        <v>39</v>
      </c>
      <c r="E2229" t="s">
        <v>2214</v>
      </c>
    </row>
    <row r="2230" spans="1:5" x14ac:dyDescent="0.4">
      <c r="A2230" t="s">
        <v>4523</v>
      </c>
      <c r="B2230" t="s">
        <v>4524</v>
      </c>
      <c r="C2230" t="s">
        <v>39</v>
      </c>
      <c r="E2230" t="s">
        <v>2214</v>
      </c>
    </row>
    <row r="2231" spans="1:5" x14ac:dyDescent="0.4">
      <c r="A2231" t="s">
        <v>4525</v>
      </c>
      <c r="B2231" t="s">
        <v>4526</v>
      </c>
      <c r="C2231" t="s">
        <v>39</v>
      </c>
      <c r="E2231" t="s">
        <v>2214</v>
      </c>
    </row>
    <row r="2232" spans="1:5" x14ac:dyDescent="0.4">
      <c r="A2232" t="s">
        <v>4527</v>
      </c>
      <c r="B2232" t="s">
        <v>4528</v>
      </c>
      <c r="C2232" t="s">
        <v>39</v>
      </c>
      <c r="E2232" t="s">
        <v>2214</v>
      </c>
    </row>
    <row r="2233" spans="1:5" x14ac:dyDescent="0.4">
      <c r="A2233" t="s">
        <v>4529</v>
      </c>
      <c r="B2233" t="s">
        <v>4530</v>
      </c>
      <c r="C2233" t="s">
        <v>39</v>
      </c>
      <c r="E2233" t="s">
        <v>2214</v>
      </c>
    </row>
    <row r="2234" spans="1:5" x14ac:dyDescent="0.4">
      <c r="A2234" t="s">
        <v>4531</v>
      </c>
      <c r="B2234" t="s">
        <v>4532</v>
      </c>
      <c r="C2234" t="s">
        <v>39</v>
      </c>
      <c r="E2234" t="s">
        <v>2214</v>
      </c>
    </row>
    <row r="2235" spans="1:5" x14ac:dyDescent="0.4">
      <c r="A2235" t="s">
        <v>4533</v>
      </c>
      <c r="B2235" t="s">
        <v>4534</v>
      </c>
      <c r="C2235" t="s">
        <v>39</v>
      </c>
      <c r="E2235" t="s">
        <v>2214</v>
      </c>
    </row>
    <row r="2236" spans="1:5" x14ac:dyDescent="0.4">
      <c r="A2236" t="s">
        <v>4535</v>
      </c>
      <c r="B2236" t="s">
        <v>4536</v>
      </c>
      <c r="C2236" t="s">
        <v>39</v>
      </c>
      <c r="E2236" t="s">
        <v>2214</v>
      </c>
    </row>
    <row r="2237" spans="1:5" x14ac:dyDescent="0.4">
      <c r="A2237" t="s">
        <v>4537</v>
      </c>
      <c r="B2237" t="s">
        <v>4538</v>
      </c>
      <c r="C2237" t="s">
        <v>39</v>
      </c>
      <c r="E2237" t="s">
        <v>2214</v>
      </c>
    </row>
    <row r="2238" spans="1:5" x14ac:dyDescent="0.4">
      <c r="A2238" t="s">
        <v>4539</v>
      </c>
      <c r="B2238" t="s">
        <v>4540</v>
      </c>
      <c r="C2238" t="s">
        <v>56</v>
      </c>
      <c r="E2238" t="s">
        <v>2214</v>
      </c>
    </row>
    <row r="2239" spans="1:5" x14ac:dyDescent="0.4">
      <c r="A2239" t="s">
        <v>4541</v>
      </c>
      <c r="B2239" t="s">
        <v>4542</v>
      </c>
      <c r="C2239" t="s">
        <v>56</v>
      </c>
      <c r="E2239" t="s">
        <v>2214</v>
      </c>
    </row>
    <row r="2240" spans="1:5" x14ac:dyDescent="0.4">
      <c r="A2240" t="s">
        <v>4543</v>
      </c>
      <c r="B2240" t="s">
        <v>4544</v>
      </c>
      <c r="C2240" t="s">
        <v>56</v>
      </c>
      <c r="E2240" t="s">
        <v>2214</v>
      </c>
    </row>
    <row r="2241" spans="1:6" x14ac:dyDescent="0.4">
      <c r="A2241" t="s">
        <v>4545</v>
      </c>
      <c r="B2241" t="s">
        <v>4546</v>
      </c>
      <c r="C2241" t="s">
        <v>56</v>
      </c>
      <c r="E2241" t="s">
        <v>2214</v>
      </c>
    </row>
    <row r="2242" spans="1:6" x14ac:dyDescent="0.4">
      <c r="A2242" t="s">
        <v>4547</v>
      </c>
      <c r="B2242" t="s">
        <v>4548</v>
      </c>
      <c r="C2242" t="s">
        <v>56</v>
      </c>
      <c r="E2242" t="s">
        <v>2214</v>
      </c>
    </row>
    <row r="2243" spans="1:6" x14ac:dyDescent="0.4">
      <c r="A2243" t="s">
        <v>4549</v>
      </c>
      <c r="B2243" t="s">
        <v>4550</v>
      </c>
      <c r="C2243" t="s">
        <v>56</v>
      </c>
      <c r="E2243" t="s">
        <v>2214</v>
      </c>
    </row>
    <row r="2244" spans="1:6" x14ac:dyDescent="0.4">
      <c r="A2244" t="s">
        <v>4551</v>
      </c>
      <c r="B2244" t="s">
        <v>4552</v>
      </c>
      <c r="C2244" t="s">
        <v>56</v>
      </c>
      <c r="E2244" t="s">
        <v>2214</v>
      </c>
    </row>
    <row r="2245" spans="1:6" x14ac:dyDescent="0.4">
      <c r="A2245" t="s">
        <v>4553</v>
      </c>
      <c r="B2245" t="s">
        <v>4554</v>
      </c>
      <c r="C2245" t="s">
        <v>56</v>
      </c>
      <c r="E2245" t="s">
        <v>2214</v>
      </c>
    </row>
    <row r="2246" spans="1:6" x14ac:dyDescent="0.4">
      <c r="A2246" t="s">
        <v>4555</v>
      </c>
      <c r="B2246" t="s">
        <v>4556</v>
      </c>
      <c r="C2246" t="s">
        <v>56</v>
      </c>
      <c r="E2246" t="s">
        <v>2214</v>
      </c>
    </row>
    <row r="2247" spans="1:6" x14ac:dyDescent="0.4">
      <c r="A2247" t="s">
        <v>4557</v>
      </c>
      <c r="B2247" t="s">
        <v>4558</v>
      </c>
      <c r="C2247" t="s">
        <v>56</v>
      </c>
      <c r="E2247" t="s">
        <v>2214</v>
      </c>
    </row>
    <row r="2248" spans="1:6" x14ac:dyDescent="0.4">
      <c r="A2248" t="s">
        <v>4559</v>
      </c>
      <c r="B2248" t="s">
        <v>4560</v>
      </c>
      <c r="C2248" t="s">
        <v>6</v>
      </c>
      <c r="D2248" t="s">
        <v>16</v>
      </c>
      <c r="E2248" t="s">
        <v>1453</v>
      </c>
    </row>
    <row r="2249" spans="1:6" x14ac:dyDescent="0.4">
      <c r="A2249" t="s">
        <v>4561</v>
      </c>
      <c r="B2249" t="s">
        <v>4562</v>
      </c>
      <c r="C2249" t="s">
        <v>6</v>
      </c>
      <c r="D2249" t="s">
        <v>21</v>
      </c>
      <c r="E2249" t="s">
        <v>1453</v>
      </c>
    </row>
    <row r="2250" spans="1:6" x14ac:dyDescent="0.4">
      <c r="A2250" t="s">
        <v>4563</v>
      </c>
      <c r="B2250" t="s">
        <v>4564</v>
      </c>
      <c r="C2250" t="s">
        <v>6</v>
      </c>
      <c r="D2250" t="s">
        <v>13</v>
      </c>
      <c r="E2250" t="s">
        <v>1453</v>
      </c>
    </row>
    <row r="2251" spans="1:6" x14ac:dyDescent="0.4">
      <c r="A2251" t="s">
        <v>4565</v>
      </c>
      <c r="B2251" t="s">
        <v>4566</v>
      </c>
      <c r="C2251" t="s">
        <v>39</v>
      </c>
      <c r="E2251" t="s">
        <v>1453</v>
      </c>
    </row>
    <row r="2252" spans="1:6" x14ac:dyDescent="0.4">
      <c r="A2252" t="s">
        <v>4567</v>
      </c>
      <c r="B2252" t="s">
        <v>4568</v>
      </c>
      <c r="C2252" t="s">
        <v>56</v>
      </c>
      <c r="E2252" t="s">
        <v>1453</v>
      </c>
    </row>
    <row r="2253" spans="1:6" x14ac:dyDescent="0.4">
      <c r="A2253" t="s">
        <v>4569</v>
      </c>
      <c r="B2253" t="s">
        <v>4570</v>
      </c>
      <c r="C2253" t="s">
        <v>56</v>
      </c>
      <c r="D2253" t="s">
        <v>7</v>
      </c>
      <c r="E2253" t="s">
        <v>1453</v>
      </c>
      <c r="F2253" t="s">
        <v>4571</v>
      </c>
    </row>
    <row r="2254" spans="1:6" x14ac:dyDescent="0.4">
      <c r="A2254" t="s">
        <v>4572</v>
      </c>
      <c r="B2254" t="s">
        <v>4573</v>
      </c>
      <c r="C2254" t="s">
        <v>6</v>
      </c>
      <c r="D2254" t="s">
        <v>16</v>
      </c>
      <c r="E2254" t="s">
        <v>1453</v>
      </c>
    </row>
    <row r="2255" spans="1:6" x14ac:dyDescent="0.4">
      <c r="A2255" t="s">
        <v>4574</v>
      </c>
      <c r="B2255" t="s">
        <v>4575</v>
      </c>
      <c r="C2255" t="s">
        <v>6</v>
      </c>
      <c r="D2255" t="s">
        <v>33</v>
      </c>
      <c r="E2255" t="s">
        <v>1453</v>
      </c>
    </row>
    <row r="2256" spans="1:6" x14ac:dyDescent="0.4">
      <c r="A2256" t="s">
        <v>4576</v>
      </c>
      <c r="B2256" t="s">
        <v>4577</v>
      </c>
      <c r="C2256" t="s">
        <v>6</v>
      </c>
      <c r="D2256" t="s">
        <v>36</v>
      </c>
      <c r="E2256" t="s">
        <v>1453</v>
      </c>
    </row>
    <row r="2257" spans="1:5" x14ac:dyDescent="0.4">
      <c r="A2257" t="s">
        <v>4578</v>
      </c>
      <c r="B2257" t="s">
        <v>4579</v>
      </c>
      <c r="C2257" t="s">
        <v>6</v>
      </c>
      <c r="D2257" t="s">
        <v>1126</v>
      </c>
      <c r="E2257" t="s">
        <v>1453</v>
      </c>
    </row>
    <row r="2258" spans="1:5" x14ac:dyDescent="0.4">
      <c r="A2258" t="s">
        <v>4580</v>
      </c>
      <c r="B2258" t="s">
        <v>4581</v>
      </c>
      <c r="C2258" t="s">
        <v>39</v>
      </c>
      <c r="E2258" t="s">
        <v>1453</v>
      </c>
    </row>
    <row r="2259" spans="1:5" x14ac:dyDescent="0.4">
      <c r="A2259" t="s">
        <v>4582</v>
      </c>
      <c r="B2259" t="s">
        <v>4583</v>
      </c>
      <c r="C2259" t="s">
        <v>6</v>
      </c>
      <c r="D2259" t="s">
        <v>30</v>
      </c>
      <c r="E2259" t="s">
        <v>1453</v>
      </c>
    </row>
    <row r="2260" spans="1:5" x14ac:dyDescent="0.4">
      <c r="A2260" t="s">
        <v>4584</v>
      </c>
      <c r="B2260" t="s">
        <v>4585</v>
      </c>
      <c r="C2260" t="s">
        <v>6</v>
      </c>
      <c r="D2260" t="s">
        <v>16</v>
      </c>
      <c r="E2260" t="s">
        <v>1453</v>
      </c>
    </row>
    <row r="2261" spans="1:5" x14ac:dyDescent="0.4">
      <c r="A2261" t="s">
        <v>4586</v>
      </c>
      <c r="B2261" t="s">
        <v>4587</v>
      </c>
      <c r="C2261" t="s">
        <v>6</v>
      </c>
      <c r="D2261" t="s">
        <v>24</v>
      </c>
      <c r="E2261" t="s">
        <v>1453</v>
      </c>
    </row>
    <row r="2262" spans="1:5" x14ac:dyDescent="0.4">
      <c r="A2262" t="s">
        <v>4588</v>
      </c>
      <c r="B2262" t="s">
        <v>4589</v>
      </c>
      <c r="C2262" t="s">
        <v>6</v>
      </c>
      <c r="D2262" t="s">
        <v>27</v>
      </c>
      <c r="E2262" t="s">
        <v>1453</v>
      </c>
    </row>
    <row r="2263" spans="1:5" x14ac:dyDescent="0.4">
      <c r="A2263" t="s">
        <v>4590</v>
      </c>
      <c r="B2263" t="s">
        <v>4591</v>
      </c>
      <c r="C2263" t="s">
        <v>6</v>
      </c>
      <c r="D2263" t="s">
        <v>1126</v>
      </c>
      <c r="E2263" t="s">
        <v>1453</v>
      </c>
    </row>
    <row r="2264" spans="1:5" x14ac:dyDescent="0.4">
      <c r="A2264" t="s">
        <v>4592</v>
      </c>
      <c r="B2264" t="s">
        <v>4593</v>
      </c>
      <c r="C2264" t="s">
        <v>56</v>
      </c>
      <c r="E2264" t="s">
        <v>1453</v>
      </c>
    </row>
    <row r="2265" spans="1:5" x14ac:dyDescent="0.4">
      <c r="A2265" t="s">
        <v>4594</v>
      </c>
      <c r="B2265" t="s">
        <v>4595</v>
      </c>
      <c r="C2265" t="s">
        <v>56</v>
      </c>
      <c r="E2265" t="s">
        <v>1453</v>
      </c>
    </row>
    <row r="2266" spans="1:5" x14ac:dyDescent="0.4">
      <c r="A2266" t="s">
        <v>4596</v>
      </c>
      <c r="B2266" t="s">
        <v>4597</v>
      </c>
      <c r="C2266" t="s">
        <v>6</v>
      </c>
      <c r="D2266" t="s">
        <v>16</v>
      </c>
      <c r="E2266" t="s">
        <v>1453</v>
      </c>
    </row>
    <row r="2267" spans="1:5" x14ac:dyDescent="0.4">
      <c r="A2267" t="s">
        <v>4598</v>
      </c>
      <c r="B2267" t="s">
        <v>4599</v>
      </c>
      <c r="C2267" t="s">
        <v>6</v>
      </c>
      <c r="D2267" t="s">
        <v>1126</v>
      </c>
      <c r="E2267" t="s">
        <v>1453</v>
      </c>
    </row>
    <row r="2268" spans="1:5" x14ac:dyDescent="0.4">
      <c r="A2268" t="s">
        <v>4600</v>
      </c>
      <c r="B2268" t="s">
        <v>4601</v>
      </c>
      <c r="C2268" t="s">
        <v>6</v>
      </c>
      <c r="D2268" t="s">
        <v>33</v>
      </c>
      <c r="E2268" t="s">
        <v>1453</v>
      </c>
    </row>
    <row r="2269" spans="1:5" x14ac:dyDescent="0.4">
      <c r="A2269" t="s">
        <v>4602</v>
      </c>
      <c r="B2269" t="s">
        <v>4603</v>
      </c>
      <c r="C2269" t="s">
        <v>6</v>
      </c>
      <c r="D2269" t="s">
        <v>7</v>
      </c>
      <c r="E2269" t="s">
        <v>1453</v>
      </c>
    </row>
    <row r="2270" spans="1:5" x14ac:dyDescent="0.4">
      <c r="A2270" t="s">
        <v>4604</v>
      </c>
      <c r="B2270" t="s">
        <v>4605</v>
      </c>
      <c r="C2270" t="s">
        <v>6</v>
      </c>
      <c r="D2270" t="s">
        <v>10</v>
      </c>
      <c r="E2270" t="s">
        <v>1453</v>
      </c>
    </row>
    <row r="2271" spans="1:5" x14ac:dyDescent="0.4">
      <c r="A2271" t="s">
        <v>4606</v>
      </c>
      <c r="B2271" t="s">
        <v>4607</v>
      </c>
      <c r="C2271" t="s">
        <v>6</v>
      </c>
      <c r="D2271" t="s">
        <v>1126</v>
      </c>
      <c r="E2271" t="s">
        <v>1453</v>
      </c>
    </row>
    <row r="2272" spans="1:5" x14ac:dyDescent="0.4">
      <c r="A2272" t="s">
        <v>4608</v>
      </c>
      <c r="B2272" t="s">
        <v>4609</v>
      </c>
      <c r="C2272" t="s">
        <v>6</v>
      </c>
      <c r="D2272" t="s">
        <v>10</v>
      </c>
      <c r="E2272" t="s">
        <v>1453</v>
      </c>
    </row>
    <row r="2273" spans="1:6" x14ac:dyDescent="0.4">
      <c r="A2273" t="s">
        <v>4610</v>
      </c>
      <c r="B2273" t="s">
        <v>4611</v>
      </c>
      <c r="C2273" t="s">
        <v>6</v>
      </c>
      <c r="D2273" t="s">
        <v>36</v>
      </c>
      <c r="E2273" t="s">
        <v>1453</v>
      </c>
    </row>
    <row r="2274" spans="1:6" x14ac:dyDescent="0.4">
      <c r="A2274" t="s">
        <v>4612</v>
      </c>
      <c r="B2274" t="s">
        <v>4613</v>
      </c>
      <c r="C2274" t="s">
        <v>6</v>
      </c>
      <c r="D2274" t="s">
        <v>21</v>
      </c>
      <c r="E2274" t="s">
        <v>1453</v>
      </c>
    </row>
    <row r="2275" spans="1:6" x14ac:dyDescent="0.4">
      <c r="A2275" t="s">
        <v>4614</v>
      </c>
      <c r="B2275" t="s">
        <v>4615</v>
      </c>
      <c r="C2275" t="s">
        <v>6</v>
      </c>
      <c r="D2275" t="s">
        <v>1126</v>
      </c>
      <c r="E2275" t="s">
        <v>1453</v>
      </c>
    </row>
    <row r="2276" spans="1:6" x14ac:dyDescent="0.4">
      <c r="A2276" t="s">
        <v>4616</v>
      </c>
      <c r="B2276" t="s">
        <v>4617</v>
      </c>
      <c r="C2276" t="s">
        <v>6</v>
      </c>
      <c r="D2276" t="s">
        <v>33</v>
      </c>
      <c r="E2276" t="s">
        <v>1453</v>
      </c>
    </row>
    <row r="2277" spans="1:6" x14ac:dyDescent="0.4">
      <c r="A2277" t="s">
        <v>4618</v>
      </c>
      <c r="B2277" t="s">
        <v>4619</v>
      </c>
      <c r="C2277" t="s">
        <v>6</v>
      </c>
      <c r="D2277" t="s">
        <v>27</v>
      </c>
      <c r="E2277" t="s">
        <v>1453</v>
      </c>
    </row>
    <row r="2278" spans="1:6" x14ac:dyDescent="0.4">
      <c r="A2278" t="s">
        <v>4620</v>
      </c>
      <c r="B2278" t="s">
        <v>4621</v>
      </c>
      <c r="C2278" t="s">
        <v>6</v>
      </c>
      <c r="D2278" t="s">
        <v>16</v>
      </c>
      <c r="E2278" t="s">
        <v>1453</v>
      </c>
    </row>
    <row r="2279" spans="1:6" x14ac:dyDescent="0.4">
      <c r="A2279" t="s">
        <v>4622</v>
      </c>
      <c r="B2279" t="s">
        <v>4623</v>
      </c>
      <c r="C2279" t="s">
        <v>6</v>
      </c>
      <c r="D2279" t="s">
        <v>13</v>
      </c>
      <c r="E2279" t="s">
        <v>1453</v>
      </c>
    </row>
    <row r="2280" spans="1:6" x14ac:dyDescent="0.4">
      <c r="A2280" t="s">
        <v>4624</v>
      </c>
      <c r="B2280" t="s">
        <v>4625</v>
      </c>
      <c r="C2280" t="s">
        <v>6</v>
      </c>
      <c r="D2280" t="s">
        <v>24</v>
      </c>
      <c r="E2280" t="s">
        <v>1453</v>
      </c>
      <c r="F2280" t="s">
        <v>56</v>
      </c>
    </row>
    <row r="2281" spans="1:6" x14ac:dyDescent="0.4">
      <c r="A2281" t="s">
        <v>4626</v>
      </c>
      <c r="B2281" t="s">
        <v>4627</v>
      </c>
      <c r="C2281" t="s">
        <v>6</v>
      </c>
      <c r="D2281" t="s">
        <v>13</v>
      </c>
      <c r="E2281" t="s">
        <v>1453</v>
      </c>
      <c r="F2281" t="s">
        <v>56</v>
      </c>
    </row>
    <row r="2282" spans="1:6" x14ac:dyDescent="0.4">
      <c r="A2282" t="s">
        <v>4628</v>
      </c>
      <c r="B2282" t="s">
        <v>4629</v>
      </c>
      <c r="C2282" t="s">
        <v>39</v>
      </c>
      <c r="E2282" t="s">
        <v>1453</v>
      </c>
    </row>
    <row r="2283" spans="1:6" x14ac:dyDescent="0.4">
      <c r="A2283" t="s">
        <v>4630</v>
      </c>
      <c r="B2283" t="s">
        <v>4631</v>
      </c>
      <c r="C2283" t="s">
        <v>39</v>
      </c>
      <c r="E2283" t="s">
        <v>1453</v>
      </c>
    </row>
    <row r="2284" spans="1:6" x14ac:dyDescent="0.4">
      <c r="A2284" t="s">
        <v>4632</v>
      </c>
      <c r="B2284" t="s">
        <v>4633</v>
      </c>
      <c r="C2284" t="s">
        <v>6</v>
      </c>
      <c r="D2284" t="s">
        <v>1126</v>
      </c>
      <c r="E2284" t="s">
        <v>1453</v>
      </c>
    </row>
    <row r="2285" spans="1:6" x14ac:dyDescent="0.4">
      <c r="A2285" t="s">
        <v>4634</v>
      </c>
      <c r="B2285" t="s">
        <v>4635</v>
      </c>
      <c r="C2285" t="s">
        <v>6</v>
      </c>
      <c r="D2285" t="s">
        <v>36</v>
      </c>
      <c r="E2285" t="s">
        <v>1453</v>
      </c>
    </row>
    <row r="2286" spans="1:6" x14ac:dyDescent="0.4">
      <c r="A2286" t="s">
        <v>4636</v>
      </c>
      <c r="B2286" t="s">
        <v>4637</v>
      </c>
      <c r="C2286" t="s">
        <v>56</v>
      </c>
      <c r="E2286" t="s">
        <v>1453</v>
      </c>
    </row>
    <row r="2287" spans="1:6" x14ac:dyDescent="0.4">
      <c r="A2287" t="s">
        <v>4638</v>
      </c>
      <c r="B2287" t="s">
        <v>4639</v>
      </c>
      <c r="C2287" t="s">
        <v>39</v>
      </c>
      <c r="E2287" t="s">
        <v>1453</v>
      </c>
    </row>
    <row r="2288" spans="1:6" x14ac:dyDescent="0.4">
      <c r="A2288" t="s">
        <v>4640</v>
      </c>
      <c r="B2288" t="s">
        <v>4641</v>
      </c>
      <c r="C2288" t="s">
        <v>6</v>
      </c>
      <c r="D2288" t="s">
        <v>10</v>
      </c>
      <c r="E2288" t="s">
        <v>1453</v>
      </c>
    </row>
    <row r="2289" spans="1:6" x14ac:dyDescent="0.4">
      <c r="A2289" t="s">
        <v>4642</v>
      </c>
      <c r="B2289" t="s">
        <v>4643</v>
      </c>
      <c r="C2289" t="s">
        <v>6</v>
      </c>
      <c r="D2289" t="s">
        <v>1126</v>
      </c>
      <c r="E2289" t="s">
        <v>1453</v>
      </c>
    </row>
    <row r="2290" spans="1:6" x14ac:dyDescent="0.4">
      <c r="A2290" t="s">
        <v>4644</v>
      </c>
      <c r="B2290" t="s">
        <v>4645</v>
      </c>
      <c r="C2290" t="s">
        <v>6</v>
      </c>
      <c r="D2290" t="s">
        <v>16</v>
      </c>
      <c r="E2290" t="s">
        <v>1453</v>
      </c>
    </row>
    <row r="2291" spans="1:6" x14ac:dyDescent="0.4">
      <c r="A2291" t="s">
        <v>4646</v>
      </c>
      <c r="B2291" t="s">
        <v>4647</v>
      </c>
      <c r="C2291" t="s">
        <v>6</v>
      </c>
      <c r="D2291" t="s">
        <v>36</v>
      </c>
      <c r="E2291" t="s">
        <v>1453</v>
      </c>
    </row>
    <row r="2292" spans="1:6" x14ac:dyDescent="0.4">
      <c r="A2292" t="s">
        <v>4648</v>
      </c>
      <c r="B2292" t="s">
        <v>4649</v>
      </c>
      <c r="C2292" t="s">
        <v>6</v>
      </c>
      <c r="D2292" t="s">
        <v>21</v>
      </c>
      <c r="E2292" t="s">
        <v>1453</v>
      </c>
    </row>
    <row r="2293" spans="1:6" x14ac:dyDescent="0.4">
      <c r="A2293" t="s">
        <v>4650</v>
      </c>
      <c r="B2293" t="s">
        <v>4651</v>
      </c>
      <c r="C2293" t="s">
        <v>6</v>
      </c>
      <c r="D2293" t="s">
        <v>24</v>
      </c>
      <c r="E2293" t="s">
        <v>1453</v>
      </c>
    </row>
    <row r="2294" spans="1:6" x14ac:dyDescent="0.4">
      <c r="A2294" t="s">
        <v>4652</v>
      </c>
      <c r="B2294" t="s">
        <v>4653</v>
      </c>
      <c r="C2294" t="s">
        <v>39</v>
      </c>
      <c r="E2294" t="s">
        <v>1453</v>
      </c>
    </row>
    <row r="2295" spans="1:6" x14ac:dyDescent="0.4">
      <c r="A2295" t="s">
        <v>4654</v>
      </c>
      <c r="B2295" t="s">
        <v>4655</v>
      </c>
      <c r="C2295" t="s">
        <v>39</v>
      </c>
      <c r="E2295" t="s">
        <v>1453</v>
      </c>
    </row>
    <row r="2296" spans="1:6" x14ac:dyDescent="0.4">
      <c r="A2296" t="s">
        <v>4656</v>
      </c>
      <c r="B2296" t="s">
        <v>4657</v>
      </c>
      <c r="C2296" t="s">
        <v>39</v>
      </c>
      <c r="E2296" t="s">
        <v>1453</v>
      </c>
    </row>
    <row r="2297" spans="1:6" x14ac:dyDescent="0.4">
      <c r="A2297" t="s">
        <v>4658</v>
      </c>
      <c r="B2297" t="s">
        <v>4659</v>
      </c>
      <c r="C2297" t="s">
        <v>39</v>
      </c>
      <c r="E2297" t="s">
        <v>1453</v>
      </c>
    </row>
    <row r="2298" spans="1:6" x14ac:dyDescent="0.4">
      <c r="A2298" t="s">
        <v>4660</v>
      </c>
      <c r="B2298" t="s">
        <v>4661</v>
      </c>
      <c r="C2298" t="s">
        <v>39</v>
      </c>
      <c r="E2298" t="s">
        <v>1453</v>
      </c>
    </row>
    <row r="2299" spans="1:6" x14ac:dyDescent="0.4">
      <c r="A2299" t="s">
        <v>4662</v>
      </c>
      <c r="B2299" t="s">
        <v>4663</v>
      </c>
      <c r="C2299" t="s">
        <v>39</v>
      </c>
      <c r="E2299" t="s">
        <v>1453</v>
      </c>
    </row>
    <row r="2300" spans="1:6" x14ac:dyDescent="0.4">
      <c r="A2300" t="s">
        <v>4664</v>
      </c>
      <c r="B2300" t="s">
        <v>4665</v>
      </c>
      <c r="C2300" t="s">
        <v>56</v>
      </c>
      <c r="E2300" t="s">
        <v>1453</v>
      </c>
    </row>
    <row r="2301" spans="1:6" x14ac:dyDescent="0.4">
      <c r="A2301" t="s">
        <v>4666</v>
      </c>
      <c r="B2301" t="s">
        <v>4667</v>
      </c>
      <c r="C2301" t="s">
        <v>39</v>
      </c>
      <c r="E2301" t="s">
        <v>1453</v>
      </c>
      <c r="F2301" t="s">
        <v>56</v>
      </c>
    </row>
    <row r="2302" spans="1:6" x14ac:dyDescent="0.4">
      <c r="A2302" t="s">
        <v>4668</v>
      </c>
      <c r="B2302" t="s">
        <v>4669</v>
      </c>
      <c r="C2302" t="s">
        <v>39</v>
      </c>
      <c r="E2302" t="s">
        <v>1453</v>
      </c>
      <c r="F2302" t="s">
        <v>56</v>
      </c>
    </row>
    <row r="2303" spans="1:6" x14ac:dyDescent="0.4">
      <c r="A2303" t="s">
        <v>4670</v>
      </c>
      <c r="B2303" t="s">
        <v>4671</v>
      </c>
      <c r="C2303" t="s">
        <v>39</v>
      </c>
      <c r="E2303" t="s">
        <v>1453</v>
      </c>
      <c r="F2303" t="s">
        <v>56</v>
      </c>
    </row>
    <row r="2304" spans="1:6" x14ac:dyDescent="0.4">
      <c r="A2304" t="s">
        <v>4672</v>
      </c>
      <c r="B2304" t="s">
        <v>4673</v>
      </c>
      <c r="C2304" t="s">
        <v>39</v>
      </c>
      <c r="E2304" t="s">
        <v>1453</v>
      </c>
      <c r="F2304" t="s">
        <v>56</v>
      </c>
    </row>
    <row r="2305" spans="1:6" x14ac:dyDescent="0.4">
      <c r="A2305" t="s">
        <v>4674</v>
      </c>
      <c r="B2305" t="s">
        <v>4675</v>
      </c>
      <c r="C2305" t="s">
        <v>39</v>
      </c>
      <c r="E2305" t="s">
        <v>1453</v>
      </c>
      <c r="F2305" t="s">
        <v>56</v>
      </c>
    </row>
    <row r="2306" spans="1:6" x14ac:dyDescent="0.4">
      <c r="A2306" t="s">
        <v>4676</v>
      </c>
      <c r="B2306" t="s">
        <v>4677</v>
      </c>
      <c r="C2306" t="s">
        <v>6</v>
      </c>
      <c r="D2306" t="s">
        <v>10</v>
      </c>
      <c r="E2306" t="s">
        <v>1453</v>
      </c>
    </row>
    <row r="2307" spans="1:6" x14ac:dyDescent="0.4">
      <c r="A2307" t="s">
        <v>4678</v>
      </c>
      <c r="B2307" t="s">
        <v>4679</v>
      </c>
      <c r="C2307" t="s">
        <v>6</v>
      </c>
      <c r="D2307" t="s">
        <v>21</v>
      </c>
      <c r="E2307" t="s">
        <v>1453</v>
      </c>
    </row>
    <row r="2308" spans="1:6" x14ac:dyDescent="0.4">
      <c r="A2308" t="s">
        <v>4680</v>
      </c>
      <c r="B2308" t="s">
        <v>4681</v>
      </c>
      <c r="C2308" t="s">
        <v>6</v>
      </c>
      <c r="D2308" t="s">
        <v>36</v>
      </c>
      <c r="E2308" t="s">
        <v>1453</v>
      </c>
    </row>
    <row r="2309" spans="1:6" x14ac:dyDescent="0.4">
      <c r="A2309" t="s">
        <v>4682</v>
      </c>
      <c r="B2309" t="s">
        <v>4683</v>
      </c>
      <c r="C2309" t="s">
        <v>6</v>
      </c>
      <c r="D2309" t="s">
        <v>1126</v>
      </c>
      <c r="E2309" t="s">
        <v>1453</v>
      </c>
    </row>
    <row r="2310" spans="1:6" x14ac:dyDescent="0.4">
      <c r="A2310" t="s">
        <v>4684</v>
      </c>
      <c r="B2310" t="s">
        <v>4685</v>
      </c>
      <c r="C2310" t="s">
        <v>6</v>
      </c>
      <c r="D2310" t="s">
        <v>10</v>
      </c>
      <c r="E2310" t="s">
        <v>1453</v>
      </c>
    </row>
    <row r="2311" spans="1:6" x14ac:dyDescent="0.4">
      <c r="A2311" t="s">
        <v>4686</v>
      </c>
      <c r="B2311" t="s">
        <v>4687</v>
      </c>
      <c r="C2311" t="s">
        <v>6</v>
      </c>
      <c r="D2311" t="s">
        <v>7</v>
      </c>
      <c r="E2311" t="s">
        <v>1453</v>
      </c>
    </row>
    <row r="2312" spans="1:6" x14ac:dyDescent="0.4">
      <c r="A2312" t="s">
        <v>4688</v>
      </c>
      <c r="B2312" t="s">
        <v>4689</v>
      </c>
      <c r="C2312" t="s">
        <v>39</v>
      </c>
      <c r="E2312" t="s">
        <v>1453</v>
      </c>
    </row>
    <row r="2313" spans="1:6" x14ac:dyDescent="0.4">
      <c r="A2313" t="s">
        <v>4690</v>
      </c>
      <c r="B2313" t="s">
        <v>4691</v>
      </c>
      <c r="C2313" t="s">
        <v>39</v>
      </c>
      <c r="E2313" t="s">
        <v>1453</v>
      </c>
    </row>
    <row r="2314" spans="1:6" x14ac:dyDescent="0.4">
      <c r="A2314" t="s">
        <v>4692</v>
      </c>
      <c r="B2314" t="s">
        <v>4693</v>
      </c>
      <c r="C2314" t="s">
        <v>39</v>
      </c>
      <c r="E2314" t="s">
        <v>1453</v>
      </c>
    </row>
    <row r="2315" spans="1:6" x14ac:dyDescent="0.4">
      <c r="A2315" t="s">
        <v>4694</v>
      </c>
      <c r="B2315" t="s">
        <v>4695</v>
      </c>
      <c r="C2315" t="s">
        <v>39</v>
      </c>
      <c r="E2315" t="s">
        <v>1453</v>
      </c>
    </row>
    <row r="2316" spans="1:6" x14ac:dyDescent="0.4">
      <c r="A2316" t="s">
        <v>4696</v>
      </c>
      <c r="B2316" t="s">
        <v>4697</v>
      </c>
      <c r="C2316" t="s">
        <v>39</v>
      </c>
      <c r="E2316" t="s">
        <v>1453</v>
      </c>
    </row>
    <row r="2317" spans="1:6" x14ac:dyDescent="0.4">
      <c r="A2317" t="s">
        <v>4698</v>
      </c>
      <c r="B2317" t="s">
        <v>4699</v>
      </c>
      <c r="C2317" t="s">
        <v>39</v>
      </c>
      <c r="E2317" t="s">
        <v>1453</v>
      </c>
    </row>
    <row r="2318" spans="1:6" x14ac:dyDescent="0.4">
      <c r="A2318" t="s">
        <v>4700</v>
      </c>
      <c r="B2318" t="s">
        <v>4701</v>
      </c>
      <c r="C2318" t="s">
        <v>39</v>
      </c>
      <c r="E2318" t="s">
        <v>1453</v>
      </c>
      <c r="F2318" t="s">
        <v>56</v>
      </c>
    </row>
    <row r="2319" spans="1:6" x14ac:dyDescent="0.4">
      <c r="A2319" t="s">
        <v>4702</v>
      </c>
      <c r="B2319" t="s">
        <v>4703</v>
      </c>
      <c r="C2319" t="s">
        <v>39</v>
      </c>
      <c r="E2319" t="s">
        <v>1453</v>
      </c>
      <c r="F2319" t="s">
        <v>56</v>
      </c>
    </row>
    <row r="2320" spans="1:6" x14ac:dyDescent="0.4">
      <c r="A2320" t="s">
        <v>4704</v>
      </c>
      <c r="B2320" t="s">
        <v>4705</v>
      </c>
      <c r="C2320" t="s">
        <v>39</v>
      </c>
      <c r="E2320" t="s">
        <v>1453</v>
      </c>
      <c r="F2320" t="s">
        <v>56</v>
      </c>
    </row>
    <row r="2321" spans="1:6" x14ac:dyDescent="0.4">
      <c r="A2321" t="s">
        <v>4706</v>
      </c>
      <c r="B2321" t="s">
        <v>4707</v>
      </c>
      <c r="C2321" t="s">
        <v>39</v>
      </c>
      <c r="E2321" t="s">
        <v>1453</v>
      </c>
      <c r="F2321" t="s">
        <v>56</v>
      </c>
    </row>
    <row r="2322" spans="1:6" x14ac:dyDescent="0.4">
      <c r="A2322" t="s">
        <v>4708</v>
      </c>
      <c r="B2322" t="s">
        <v>4709</v>
      </c>
      <c r="C2322" t="s">
        <v>39</v>
      </c>
      <c r="E2322" t="s">
        <v>1453</v>
      </c>
      <c r="F2322" t="s">
        <v>56</v>
      </c>
    </row>
    <row r="2323" spans="1:6" x14ac:dyDescent="0.4">
      <c r="A2323" t="s">
        <v>4710</v>
      </c>
      <c r="B2323" t="s">
        <v>4711</v>
      </c>
      <c r="C2323" t="s">
        <v>39</v>
      </c>
      <c r="E2323" t="s">
        <v>1453</v>
      </c>
      <c r="F2323" t="s">
        <v>56</v>
      </c>
    </row>
    <row r="2324" spans="1:6" x14ac:dyDescent="0.4">
      <c r="A2324" t="s">
        <v>4712</v>
      </c>
      <c r="B2324" t="s">
        <v>4713</v>
      </c>
      <c r="C2324" t="s">
        <v>6</v>
      </c>
      <c r="D2324" t="s">
        <v>36</v>
      </c>
      <c r="E2324" t="s">
        <v>1453</v>
      </c>
    </row>
    <row r="2325" spans="1:6" x14ac:dyDescent="0.4">
      <c r="A2325" t="s">
        <v>4714</v>
      </c>
      <c r="B2325" t="s">
        <v>4715</v>
      </c>
      <c r="C2325" t="s">
        <v>6</v>
      </c>
      <c r="D2325" t="s">
        <v>10</v>
      </c>
      <c r="E2325" t="s">
        <v>1453</v>
      </c>
    </row>
    <row r="2326" spans="1:6" x14ac:dyDescent="0.4">
      <c r="A2326" t="s">
        <v>4716</v>
      </c>
      <c r="B2326" t="s">
        <v>4717</v>
      </c>
      <c r="C2326" t="s">
        <v>6</v>
      </c>
      <c r="D2326" t="s">
        <v>7</v>
      </c>
      <c r="E2326" t="s">
        <v>1453</v>
      </c>
    </row>
    <row r="2327" spans="1:6" x14ac:dyDescent="0.4">
      <c r="A2327" t="s">
        <v>4718</v>
      </c>
      <c r="B2327" t="s">
        <v>4719</v>
      </c>
      <c r="C2327" t="s">
        <v>6</v>
      </c>
      <c r="D2327" t="s">
        <v>1126</v>
      </c>
      <c r="E2327" t="s">
        <v>1453</v>
      </c>
    </row>
    <row r="2328" spans="1:6" x14ac:dyDescent="0.4">
      <c r="A2328" t="s">
        <v>4720</v>
      </c>
      <c r="B2328" t="s">
        <v>4721</v>
      </c>
      <c r="C2328" t="s">
        <v>6</v>
      </c>
      <c r="D2328" t="s">
        <v>36</v>
      </c>
      <c r="E2328" t="s">
        <v>1453</v>
      </c>
    </row>
    <row r="2329" spans="1:6" x14ac:dyDescent="0.4">
      <c r="A2329" t="s">
        <v>4722</v>
      </c>
      <c r="B2329" t="s">
        <v>4723</v>
      </c>
      <c r="C2329" t="s">
        <v>6</v>
      </c>
      <c r="D2329" t="s">
        <v>10</v>
      </c>
      <c r="E2329" t="s">
        <v>1453</v>
      </c>
    </row>
    <row r="2330" spans="1:6" x14ac:dyDescent="0.4">
      <c r="A2330" t="s">
        <v>4724</v>
      </c>
      <c r="B2330" t="s">
        <v>4725</v>
      </c>
      <c r="C2330" t="s">
        <v>39</v>
      </c>
      <c r="E2330" t="s">
        <v>1453</v>
      </c>
    </row>
    <row r="2331" spans="1:6" x14ac:dyDescent="0.4">
      <c r="A2331" t="s">
        <v>4726</v>
      </c>
      <c r="B2331" t="s">
        <v>4727</v>
      </c>
      <c r="C2331" t="s">
        <v>39</v>
      </c>
      <c r="E2331" t="s">
        <v>1453</v>
      </c>
    </row>
    <row r="2332" spans="1:6" x14ac:dyDescent="0.4">
      <c r="A2332" t="s">
        <v>4728</v>
      </c>
      <c r="B2332" t="s">
        <v>4729</v>
      </c>
      <c r="C2332" t="s">
        <v>39</v>
      </c>
      <c r="E2332" t="s">
        <v>1453</v>
      </c>
    </row>
    <row r="2333" spans="1:6" x14ac:dyDescent="0.4">
      <c r="A2333" t="s">
        <v>4730</v>
      </c>
      <c r="B2333" t="s">
        <v>4731</v>
      </c>
      <c r="C2333" t="s">
        <v>39</v>
      </c>
      <c r="E2333" t="s">
        <v>1453</v>
      </c>
    </row>
    <row r="2334" spans="1:6" x14ac:dyDescent="0.4">
      <c r="A2334" t="s">
        <v>4732</v>
      </c>
      <c r="B2334" t="s">
        <v>4733</v>
      </c>
      <c r="C2334" t="s">
        <v>39</v>
      </c>
      <c r="E2334" t="s">
        <v>1453</v>
      </c>
    </row>
    <row r="2335" spans="1:6" x14ac:dyDescent="0.4">
      <c r="A2335" t="s">
        <v>4734</v>
      </c>
      <c r="B2335" t="s">
        <v>4735</v>
      </c>
      <c r="C2335" t="s">
        <v>39</v>
      </c>
      <c r="E2335" t="s">
        <v>1453</v>
      </c>
    </row>
    <row r="2336" spans="1:6" x14ac:dyDescent="0.4">
      <c r="A2336" t="s">
        <v>4736</v>
      </c>
      <c r="B2336" t="s">
        <v>4737</v>
      </c>
      <c r="C2336" t="s">
        <v>56</v>
      </c>
      <c r="E2336" t="s">
        <v>1453</v>
      </c>
    </row>
    <row r="2337" spans="1:6" x14ac:dyDescent="0.4">
      <c r="A2337" t="s">
        <v>4738</v>
      </c>
      <c r="B2337" t="s">
        <v>4739</v>
      </c>
      <c r="C2337" t="s">
        <v>39</v>
      </c>
      <c r="E2337" t="s">
        <v>1453</v>
      </c>
      <c r="F2337" t="s">
        <v>56</v>
      </c>
    </row>
    <row r="2338" spans="1:6" x14ac:dyDescent="0.4">
      <c r="A2338" t="s">
        <v>4740</v>
      </c>
      <c r="B2338" t="s">
        <v>4741</v>
      </c>
      <c r="C2338" t="s">
        <v>56</v>
      </c>
      <c r="E2338" t="s">
        <v>1453</v>
      </c>
    </row>
    <row r="2339" spans="1:6" x14ac:dyDescent="0.4">
      <c r="A2339" t="s">
        <v>4742</v>
      </c>
      <c r="B2339" t="s">
        <v>4743</v>
      </c>
      <c r="C2339" t="s">
        <v>39</v>
      </c>
      <c r="E2339" t="s">
        <v>1453</v>
      </c>
      <c r="F2339" t="s">
        <v>56</v>
      </c>
    </row>
    <row r="2340" spans="1:6" x14ac:dyDescent="0.4">
      <c r="A2340" t="s">
        <v>4744</v>
      </c>
      <c r="B2340" t="s">
        <v>4745</v>
      </c>
      <c r="C2340" t="s">
        <v>39</v>
      </c>
      <c r="E2340" t="s">
        <v>1453</v>
      </c>
      <c r="F2340" t="s">
        <v>56</v>
      </c>
    </row>
    <row r="2341" spans="1:6" x14ac:dyDescent="0.4">
      <c r="A2341" t="s">
        <v>4746</v>
      </c>
      <c r="B2341" t="s">
        <v>4747</v>
      </c>
      <c r="C2341" t="s">
        <v>39</v>
      </c>
      <c r="E2341" t="s">
        <v>1453</v>
      </c>
      <c r="F2341" t="s">
        <v>56</v>
      </c>
    </row>
    <row r="2342" spans="1:6" x14ac:dyDescent="0.4">
      <c r="A2342" t="s">
        <v>4748</v>
      </c>
      <c r="B2342" t="s">
        <v>4749</v>
      </c>
      <c r="C2342" t="s">
        <v>6</v>
      </c>
      <c r="D2342" t="s">
        <v>16</v>
      </c>
      <c r="E2342" t="s">
        <v>1453</v>
      </c>
    </row>
    <row r="2343" spans="1:6" x14ac:dyDescent="0.4">
      <c r="A2343" t="s">
        <v>4750</v>
      </c>
      <c r="B2343" t="s">
        <v>4751</v>
      </c>
      <c r="C2343" t="s">
        <v>6</v>
      </c>
      <c r="D2343" t="s">
        <v>1126</v>
      </c>
      <c r="E2343" t="s">
        <v>1453</v>
      </c>
    </row>
    <row r="2344" spans="1:6" x14ac:dyDescent="0.4">
      <c r="A2344" t="s">
        <v>4752</v>
      </c>
      <c r="B2344" t="s">
        <v>4753</v>
      </c>
      <c r="C2344" t="s">
        <v>6</v>
      </c>
      <c r="D2344" t="s">
        <v>36</v>
      </c>
      <c r="E2344" t="s">
        <v>1453</v>
      </c>
    </row>
    <row r="2345" spans="1:6" x14ac:dyDescent="0.4">
      <c r="A2345" t="s">
        <v>4754</v>
      </c>
      <c r="B2345" t="s">
        <v>4755</v>
      </c>
      <c r="C2345" t="s">
        <v>6</v>
      </c>
      <c r="D2345" t="s">
        <v>10</v>
      </c>
      <c r="E2345" t="s">
        <v>1453</v>
      </c>
    </row>
    <row r="2346" spans="1:6" x14ac:dyDescent="0.4">
      <c r="A2346" t="s">
        <v>4756</v>
      </c>
      <c r="B2346" t="s">
        <v>4757</v>
      </c>
      <c r="C2346" t="s">
        <v>6</v>
      </c>
      <c r="D2346" t="s">
        <v>7</v>
      </c>
      <c r="E2346" t="s">
        <v>1453</v>
      </c>
    </row>
    <row r="2347" spans="1:6" x14ac:dyDescent="0.4">
      <c r="A2347" t="s">
        <v>4758</v>
      </c>
      <c r="B2347" t="s">
        <v>4759</v>
      </c>
      <c r="C2347" t="s">
        <v>6</v>
      </c>
      <c r="D2347" t="s">
        <v>16</v>
      </c>
      <c r="E2347" t="s">
        <v>1453</v>
      </c>
    </row>
    <row r="2348" spans="1:6" x14ac:dyDescent="0.4">
      <c r="A2348" t="s">
        <v>4760</v>
      </c>
      <c r="B2348" t="s">
        <v>4761</v>
      </c>
      <c r="C2348" t="s">
        <v>39</v>
      </c>
      <c r="E2348" t="s">
        <v>1453</v>
      </c>
    </row>
    <row r="2349" spans="1:6" x14ac:dyDescent="0.4">
      <c r="A2349" t="s">
        <v>4762</v>
      </c>
      <c r="B2349" t="s">
        <v>4763</v>
      </c>
      <c r="C2349" t="s">
        <v>39</v>
      </c>
      <c r="E2349" t="s">
        <v>1453</v>
      </c>
    </row>
    <row r="2350" spans="1:6" x14ac:dyDescent="0.4">
      <c r="A2350" t="s">
        <v>4764</v>
      </c>
      <c r="B2350" t="s">
        <v>4765</v>
      </c>
      <c r="C2350" t="s">
        <v>39</v>
      </c>
      <c r="E2350" t="s">
        <v>1453</v>
      </c>
    </row>
    <row r="2351" spans="1:6" x14ac:dyDescent="0.4">
      <c r="A2351" t="s">
        <v>4766</v>
      </c>
      <c r="B2351" t="s">
        <v>4767</v>
      </c>
      <c r="C2351" t="s">
        <v>39</v>
      </c>
      <c r="E2351" t="s">
        <v>1453</v>
      </c>
    </row>
    <row r="2352" spans="1:6" x14ac:dyDescent="0.4">
      <c r="A2352" t="s">
        <v>4768</v>
      </c>
      <c r="B2352" t="s">
        <v>4769</v>
      </c>
      <c r="C2352" t="s">
        <v>39</v>
      </c>
      <c r="E2352" t="s">
        <v>1453</v>
      </c>
    </row>
    <row r="2353" spans="1:5" x14ac:dyDescent="0.4">
      <c r="A2353" t="s">
        <v>4770</v>
      </c>
      <c r="B2353" t="s">
        <v>4771</v>
      </c>
      <c r="C2353" t="s">
        <v>39</v>
      </c>
      <c r="E2353" t="s">
        <v>1453</v>
      </c>
    </row>
    <row r="2354" spans="1:5" x14ac:dyDescent="0.4">
      <c r="A2354" t="s">
        <v>4772</v>
      </c>
      <c r="B2354" t="s">
        <v>4773</v>
      </c>
      <c r="C2354" t="s">
        <v>56</v>
      </c>
      <c r="E2354" t="s">
        <v>1453</v>
      </c>
    </row>
    <row r="2355" spans="1:5" x14ac:dyDescent="0.4">
      <c r="A2355" t="s">
        <v>4774</v>
      </c>
      <c r="B2355" t="s">
        <v>4775</v>
      </c>
      <c r="C2355" t="s">
        <v>56</v>
      </c>
      <c r="E2355" t="s">
        <v>1453</v>
      </c>
    </row>
    <row r="2356" spans="1:5" x14ac:dyDescent="0.4">
      <c r="A2356" t="s">
        <v>4776</v>
      </c>
      <c r="B2356" t="s">
        <v>4777</v>
      </c>
      <c r="C2356" t="s">
        <v>56</v>
      </c>
      <c r="E2356" t="s">
        <v>1453</v>
      </c>
    </row>
    <row r="2357" spans="1:5" x14ac:dyDescent="0.4">
      <c r="A2357" t="s">
        <v>4778</v>
      </c>
      <c r="B2357" t="s">
        <v>4779</v>
      </c>
      <c r="C2357" t="s">
        <v>56</v>
      </c>
      <c r="E2357" t="s">
        <v>1453</v>
      </c>
    </row>
    <row r="2358" spans="1:5" x14ac:dyDescent="0.4">
      <c r="A2358" t="s">
        <v>4780</v>
      </c>
      <c r="B2358" t="s">
        <v>4781</v>
      </c>
      <c r="C2358" t="s">
        <v>56</v>
      </c>
      <c r="E2358" t="s">
        <v>1453</v>
      </c>
    </row>
    <row r="2359" spans="1:5" x14ac:dyDescent="0.4">
      <c r="A2359" t="s">
        <v>4782</v>
      </c>
      <c r="B2359" t="s">
        <v>4783</v>
      </c>
      <c r="C2359" t="s">
        <v>56</v>
      </c>
      <c r="E2359" t="s">
        <v>1453</v>
      </c>
    </row>
    <row r="2360" spans="1:5" x14ac:dyDescent="0.4">
      <c r="A2360" t="s">
        <v>4784</v>
      </c>
      <c r="B2360" t="s">
        <v>4785</v>
      </c>
      <c r="C2360" t="s">
        <v>39</v>
      </c>
      <c r="E2360" t="s">
        <v>1674</v>
      </c>
    </row>
    <row r="2361" spans="1:5" x14ac:dyDescent="0.4">
      <c r="A2361" t="s">
        <v>4786</v>
      </c>
      <c r="B2361" t="s">
        <v>4787</v>
      </c>
      <c r="C2361" t="s">
        <v>6</v>
      </c>
      <c r="D2361" t="s">
        <v>10</v>
      </c>
      <c r="E2361" t="s">
        <v>1674</v>
      </c>
    </row>
    <row r="2362" spans="1:5" x14ac:dyDescent="0.4">
      <c r="A2362" t="s">
        <v>4788</v>
      </c>
      <c r="B2362" t="s">
        <v>4789</v>
      </c>
      <c r="C2362" t="s">
        <v>56</v>
      </c>
      <c r="E2362" t="s">
        <v>1674</v>
      </c>
    </row>
    <row r="2363" spans="1:5" x14ac:dyDescent="0.4">
      <c r="A2363" t="s">
        <v>4790</v>
      </c>
      <c r="B2363" t="s">
        <v>4791</v>
      </c>
      <c r="C2363" t="s">
        <v>39</v>
      </c>
      <c r="E2363" t="s">
        <v>1674</v>
      </c>
    </row>
    <row r="2364" spans="1:5" x14ac:dyDescent="0.4">
      <c r="A2364" t="s">
        <v>4792</v>
      </c>
      <c r="B2364" t="s">
        <v>4793</v>
      </c>
      <c r="C2364" t="s">
        <v>6</v>
      </c>
      <c r="D2364" t="s">
        <v>7</v>
      </c>
      <c r="E2364" t="s">
        <v>1674</v>
      </c>
    </row>
    <row r="2365" spans="1:5" x14ac:dyDescent="0.4">
      <c r="A2365" t="s">
        <v>4794</v>
      </c>
      <c r="B2365" t="s">
        <v>4795</v>
      </c>
      <c r="C2365" t="s">
        <v>56</v>
      </c>
      <c r="E2365" t="s">
        <v>1674</v>
      </c>
    </row>
    <row r="2366" spans="1:5" x14ac:dyDescent="0.4">
      <c r="A2366" t="s">
        <v>4796</v>
      </c>
      <c r="B2366" t="s">
        <v>4797</v>
      </c>
      <c r="C2366" t="s">
        <v>6</v>
      </c>
      <c r="D2366" t="s">
        <v>10</v>
      </c>
      <c r="E2366" t="s">
        <v>1674</v>
      </c>
    </row>
    <row r="2367" spans="1:5" x14ac:dyDescent="0.4">
      <c r="A2367" t="s">
        <v>4798</v>
      </c>
      <c r="B2367" t="s">
        <v>4799</v>
      </c>
      <c r="C2367" t="s">
        <v>39</v>
      </c>
      <c r="E2367" t="s">
        <v>349</v>
      </c>
    </row>
    <row r="2368" spans="1:5" x14ac:dyDescent="0.4">
      <c r="A2368" t="s">
        <v>4800</v>
      </c>
      <c r="B2368" t="s">
        <v>4801</v>
      </c>
      <c r="C2368" t="s">
        <v>6</v>
      </c>
      <c r="D2368" t="s">
        <v>16</v>
      </c>
      <c r="E2368" t="s">
        <v>1674</v>
      </c>
    </row>
    <row r="2369" spans="1:6" x14ac:dyDescent="0.4">
      <c r="A2369" t="s">
        <v>4802</v>
      </c>
      <c r="B2369" t="s">
        <v>4803</v>
      </c>
      <c r="C2369" t="s">
        <v>6</v>
      </c>
      <c r="D2369" t="s">
        <v>13</v>
      </c>
      <c r="E2369" t="s">
        <v>1674</v>
      </c>
      <c r="F2369" t="s">
        <v>56</v>
      </c>
    </row>
    <row r="2370" spans="1:6" x14ac:dyDescent="0.4">
      <c r="A2370" t="s">
        <v>4804</v>
      </c>
      <c r="B2370" t="s">
        <v>4805</v>
      </c>
      <c r="C2370" t="s">
        <v>6</v>
      </c>
      <c r="D2370" t="s">
        <v>13</v>
      </c>
      <c r="E2370" t="s">
        <v>1674</v>
      </c>
    </row>
    <row r="2371" spans="1:6" x14ac:dyDescent="0.4">
      <c r="A2371" t="s">
        <v>4806</v>
      </c>
      <c r="B2371" t="s">
        <v>4807</v>
      </c>
      <c r="C2371" t="s">
        <v>39</v>
      </c>
      <c r="E2371" t="s">
        <v>1674</v>
      </c>
    </row>
    <row r="2372" spans="1:6" x14ac:dyDescent="0.4">
      <c r="A2372" t="s">
        <v>4808</v>
      </c>
      <c r="B2372" t="s">
        <v>4809</v>
      </c>
      <c r="C2372" t="s">
        <v>6</v>
      </c>
      <c r="D2372" t="s">
        <v>27</v>
      </c>
      <c r="E2372" t="s">
        <v>349</v>
      </c>
    </row>
    <row r="2373" spans="1:6" x14ac:dyDescent="0.4">
      <c r="A2373" t="s">
        <v>4810</v>
      </c>
      <c r="B2373" t="s">
        <v>4811</v>
      </c>
      <c r="C2373" t="s">
        <v>56</v>
      </c>
      <c r="E2373" t="s">
        <v>1674</v>
      </c>
    </row>
    <row r="2374" spans="1:6" x14ac:dyDescent="0.4">
      <c r="A2374" t="s">
        <v>4812</v>
      </c>
      <c r="B2374" t="s">
        <v>4813</v>
      </c>
      <c r="C2374" t="s">
        <v>6</v>
      </c>
      <c r="D2374" t="s">
        <v>36</v>
      </c>
      <c r="E2374" t="s">
        <v>1674</v>
      </c>
    </row>
    <row r="2375" spans="1:6" x14ac:dyDescent="0.4">
      <c r="A2375" t="s">
        <v>4814</v>
      </c>
      <c r="B2375" t="s">
        <v>4815</v>
      </c>
      <c r="C2375" t="s">
        <v>39</v>
      </c>
      <c r="E2375" t="s">
        <v>1674</v>
      </c>
    </row>
    <row r="2376" spans="1:6" x14ac:dyDescent="0.4">
      <c r="A2376" t="s">
        <v>4816</v>
      </c>
      <c r="B2376" t="s">
        <v>4817</v>
      </c>
      <c r="C2376" t="s">
        <v>6</v>
      </c>
      <c r="D2376" t="s">
        <v>7</v>
      </c>
      <c r="E2376" t="s">
        <v>1674</v>
      </c>
    </row>
    <row r="2377" spans="1:6" x14ac:dyDescent="0.4">
      <c r="A2377" t="s">
        <v>4818</v>
      </c>
      <c r="B2377" t="s">
        <v>4819</v>
      </c>
      <c r="C2377" t="s">
        <v>56</v>
      </c>
      <c r="E2377" t="s">
        <v>1674</v>
      </c>
    </row>
    <row r="2378" spans="1:6" x14ac:dyDescent="0.4">
      <c r="A2378" t="s">
        <v>4820</v>
      </c>
      <c r="B2378" t="s">
        <v>4821</v>
      </c>
      <c r="C2378" t="s">
        <v>39</v>
      </c>
      <c r="E2378" t="s">
        <v>1674</v>
      </c>
    </row>
    <row r="2379" spans="1:6" x14ac:dyDescent="0.4">
      <c r="A2379" t="s">
        <v>4822</v>
      </c>
      <c r="B2379" t="s">
        <v>4823</v>
      </c>
      <c r="C2379" t="s">
        <v>6</v>
      </c>
      <c r="D2379" t="s">
        <v>13</v>
      </c>
      <c r="E2379" t="s">
        <v>1674</v>
      </c>
    </row>
    <row r="2380" spans="1:6" x14ac:dyDescent="0.4">
      <c r="A2380" t="s">
        <v>4824</v>
      </c>
      <c r="B2380" t="s">
        <v>4825</v>
      </c>
      <c r="C2380" t="s">
        <v>56</v>
      </c>
      <c r="E2380" t="s">
        <v>1674</v>
      </c>
    </row>
    <row r="2381" spans="1:6" x14ac:dyDescent="0.4">
      <c r="A2381" t="s">
        <v>4826</v>
      </c>
      <c r="B2381" t="s">
        <v>4827</v>
      </c>
      <c r="C2381" t="s">
        <v>6</v>
      </c>
      <c r="D2381" t="s">
        <v>10</v>
      </c>
      <c r="E2381" t="s">
        <v>1674</v>
      </c>
    </row>
    <row r="2382" spans="1:6" x14ac:dyDescent="0.4">
      <c r="A2382" t="s">
        <v>4828</v>
      </c>
      <c r="B2382" t="s">
        <v>4829</v>
      </c>
      <c r="C2382" t="s">
        <v>39</v>
      </c>
      <c r="E2382" t="s">
        <v>1674</v>
      </c>
    </row>
    <row r="2383" spans="1:6" x14ac:dyDescent="0.4">
      <c r="A2383" t="s">
        <v>4830</v>
      </c>
      <c r="B2383" t="s">
        <v>4831</v>
      </c>
      <c r="C2383" t="s">
        <v>6</v>
      </c>
      <c r="D2383" t="s">
        <v>16</v>
      </c>
      <c r="E2383" t="s">
        <v>1674</v>
      </c>
    </row>
    <row r="2384" spans="1:6" x14ac:dyDescent="0.4">
      <c r="A2384" t="s">
        <v>4832</v>
      </c>
      <c r="B2384" t="s">
        <v>4833</v>
      </c>
      <c r="C2384" t="s">
        <v>56</v>
      </c>
      <c r="E2384" t="s">
        <v>1674</v>
      </c>
    </row>
    <row r="2385" spans="1:7" x14ac:dyDescent="0.4">
      <c r="A2385" t="s">
        <v>4834</v>
      </c>
      <c r="B2385" t="s">
        <v>4835</v>
      </c>
      <c r="C2385" t="s">
        <v>6</v>
      </c>
      <c r="D2385" t="s">
        <v>13</v>
      </c>
      <c r="E2385" t="s">
        <v>1674</v>
      </c>
    </row>
    <row r="2386" spans="1:7" x14ac:dyDescent="0.4">
      <c r="A2386" t="s">
        <v>4836</v>
      </c>
      <c r="B2386" t="s">
        <v>4837</v>
      </c>
      <c r="C2386" t="s">
        <v>39</v>
      </c>
      <c r="E2386" t="s">
        <v>1674</v>
      </c>
    </row>
    <row r="2387" spans="1:7" x14ac:dyDescent="0.4">
      <c r="A2387" t="s">
        <v>4838</v>
      </c>
      <c r="B2387" t="s">
        <v>4839</v>
      </c>
      <c r="C2387" t="s">
        <v>6</v>
      </c>
      <c r="D2387" t="s">
        <v>27</v>
      </c>
      <c r="E2387" t="s">
        <v>1674</v>
      </c>
    </row>
    <row r="2388" spans="1:7" x14ac:dyDescent="0.4">
      <c r="A2388" t="s">
        <v>4840</v>
      </c>
      <c r="B2388" t="s">
        <v>4841</v>
      </c>
      <c r="C2388" t="s">
        <v>56</v>
      </c>
      <c r="E2388" t="s">
        <v>1674</v>
      </c>
    </row>
    <row r="2389" spans="1:7" x14ac:dyDescent="0.4">
      <c r="A2389" t="s">
        <v>4842</v>
      </c>
      <c r="B2389" t="s">
        <v>4843</v>
      </c>
      <c r="C2389" t="s">
        <v>6</v>
      </c>
      <c r="D2389" t="s">
        <v>36</v>
      </c>
      <c r="E2389" t="s">
        <v>1674</v>
      </c>
      <c r="G2389" t="s">
        <v>24</v>
      </c>
    </row>
    <row r="2390" spans="1:7" x14ac:dyDescent="0.4">
      <c r="A2390" t="s">
        <v>4844</v>
      </c>
      <c r="B2390" t="s">
        <v>4845</v>
      </c>
      <c r="C2390" t="s">
        <v>39</v>
      </c>
      <c r="E2390" t="s">
        <v>1674</v>
      </c>
    </row>
    <row r="2391" spans="1:7" x14ac:dyDescent="0.4">
      <c r="A2391" t="s">
        <v>4846</v>
      </c>
      <c r="B2391" t="s">
        <v>4847</v>
      </c>
      <c r="C2391" t="s">
        <v>6</v>
      </c>
      <c r="D2391" t="s">
        <v>36</v>
      </c>
      <c r="E2391" t="s">
        <v>1674</v>
      </c>
    </row>
    <row r="2392" spans="1:7" x14ac:dyDescent="0.4">
      <c r="A2392" t="s">
        <v>4848</v>
      </c>
      <c r="B2392" t="s">
        <v>4849</v>
      </c>
      <c r="C2392" t="s">
        <v>39</v>
      </c>
      <c r="E2392" t="s">
        <v>1674</v>
      </c>
    </row>
    <row r="2393" spans="1:7" x14ac:dyDescent="0.4">
      <c r="A2393" t="s">
        <v>4850</v>
      </c>
      <c r="B2393" t="s">
        <v>4851</v>
      </c>
      <c r="C2393" t="s">
        <v>56</v>
      </c>
      <c r="E2393" t="s">
        <v>1674</v>
      </c>
    </row>
    <row r="2394" spans="1:7" x14ac:dyDescent="0.4">
      <c r="A2394" t="s">
        <v>4852</v>
      </c>
      <c r="B2394" t="s">
        <v>4853</v>
      </c>
      <c r="C2394" t="s">
        <v>39</v>
      </c>
      <c r="E2394" t="s">
        <v>1674</v>
      </c>
    </row>
    <row r="2395" spans="1:7" x14ac:dyDescent="0.4">
      <c r="A2395" t="s">
        <v>4854</v>
      </c>
      <c r="B2395" t="s">
        <v>4855</v>
      </c>
      <c r="C2395" t="s">
        <v>6</v>
      </c>
      <c r="D2395" t="s">
        <v>7</v>
      </c>
      <c r="E2395" t="s">
        <v>1674</v>
      </c>
    </row>
    <row r="2396" spans="1:7" x14ac:dyDescent="0.4">
      <c r="A2396" t="s">
        <v>4856</v>
      </c>
      <c r="B2396" t="s">
        <v>4857</v>
      </c>
      <c r="C2396" t="s">
        <v>56</v>
      </c>
      <c r="E2396" t="s">
        <v>1674</v>
      </c>
    </row>
    <row r="2397" spans="1:7" x14ac:dyDescent="0.4">
      <c r="A2397" t="s">
        <v>4858</v>
      </c>
      <c r="B2397" t="s">
        <v>4859</v>
      </c>
      <c r="C2397" t="s">
        <v>6</v>
      </c>
      <c r="D2397" t="s">
        <v>36</v>
      </c>
      <c r="E2397" t="s">
        <v>1674</v>
      </c>
    </row>
    <row r="2398" spans="1:7" x14ac:dyDescent="0.4">
      <c r="A2398" t="s">
        <v>4860</v>
      </c>
      <c r="B2398" t="s">
        <v>4861</v>
      </c>
      <c r="C2398" t="s">
        <v>39</v>
      </c>
      <c r="E2398" t="s">
        <v>1674</v>
      </c>
    </row>
    <row r="2399" spans="1:7" x14ac:dyDescent="0.4">
      <c r="A2399" t="s">
        <v>4862</v>
      </c>
      <c r="B2399" t="s">
        <v>4863</v>
      </c>
      <c r="C2399" t="s">
        <v>6</v>
      </c>
      <c r="D2399" t="s">
        <v>21</v>
      </c>
      <c r="E2399" t="s">
        <v>1674</v>
      </c>
    </row>
    <row r="2400" spans="1:7" x14ac:dyDescent="0.4">
      <c r="A2400" t="s">
        <v>4864</v>
      </c>
      <c r="B2400" t="s">
        <v>4865</v>
      </c>
      <c r="C2400" t="s">
        <v>56</v>
      </c>
      <c r="E2400" t="s">
        <v>1674</v>
      </c>
    </row>
    <row r="2401" spans="1:7" x14ac:dyDescent="0.4">
      <c r="A2401" t="s">
        <v>4866</v>
      </c>
      <c r="B2401" t="s">
        <v>4867</v>
      </c>
      <c r="C2401" t="s">
        <v>6</v>
      </c>
      <c r="D2401" t="s">
        <v>36</v>
      </c>
      <c r="E2401" t="s">
        <v>1674</v>
      </c>
    </row>
    <row r="2402" spans="1:7" x14ac:dyDescent="0.4">
      <c r="A2402" t="s">
        <v>4868</v>
      </c>
      <c r="B2402" t="s">
        <v>4869</v>
      </c>
      <c r="C2402" t="s">
        <v>39</v>
      </c>
      <c r="E2402" t="s">
        <v>1674</v>
      </c>
    </row>
    <row r="2403" spans="1:7" x14ac:dyDescent="0.4">
      <c r="A2403" t="s">
        <v>4870</v>
      </c>
      <c r="B2403" t="s">
        <v>4871</v>
      </c>
      <c r="C2403" t="s">
        <v>6</v>
      </c>
      <c r="D2403" t="s">
        <v>24</v>
      </c>
      <c r="E2403" t="s">
        <v>1674</v>
      </c>
      <c r="G2403" t="s">
        <v>30</v>
      </c>
    </row>
    <row r="2404" spans="1:7" x14ac:dyDescent="0.4">
      <c r="A2404" t="s">
        <v>4872</v>
      </c>
      <c r="B2404" t="s">
        <v>4873</v>
      </c>
      <c r="C2404" t="s">
        <v>56</v>
      </c>
      <c r="E2404" t="s">
        <v>1674</v>
      </c>
    </row>
    <row r="2405" spans="1:7" x14ac:dyDescent="0.4">
      <c r="A2405" t="s">
        <v>4874</v>
      </c>
      <c r="B2405" t="s">
        <v>4875</v>
      </c>
      <c r="C2405" t="s">
        <v>6</v>
      </c>
      <c r="D2405" t="s">
        <v>27</v>
      </c>
      <c r="E2405" t="s">
        <v>1674</v>
      </c>
    </row>
    <row r="2406" spans="1:7" x14ac:dyDescent="0.4">
      <c r="A2406" t="s">
        <v>4876</v>
      </c>
      <c r="B2406" t="s">
        <v>4877</v>
      </c>
      <c r="C2406" t="s">
        <v>39</v>
      </c>
      <c r="E2406" t="s">
        <v>1674</v>
      </c>
    </row>
    <row r="2407" spans="1:7" x14ac:dyDescent="0.4">
      <c r="A2407" t="s">
        <v>4878</v>
      </c>
      <c r="B2407" t="s">
        <v>4879</v>
      </c>
      <c r="C2407" t="s">
        <v>6</v>
      </c>
      <c r="D2407" t="s">
        <v>13</v>
      </c>
      <c r="E2407" t="s">
        <v>1674</v>
      </c>
    </row>
    <row r="2408" spans="1:7" x14ac:dyDescent="0.4">
      <c r="A2408" t="s">
        <v>4880</v>
      </c>
      <c r="B2408" t="s">
        <v>4881</v>
      </c>
      <c r="C2408" t="s">
        <v>39</v>
      </c>
      <c r="E2408" t="s">
        <v>1674</v>
      </c>
    </row>
    <row r="2409" spans="1:7" x14ac:dyDescent="0.4">
      <c r="A2409" t="s">
        <v>4882</v>
      </c>
      <c r="B2409" t="s">
        <v>4883</v>
      </c>
      <c r="C2409" t="s">
        <v>56</v>
      </c>
      <c r="E2409" t="s">
        <v>1674</v>
      </c>
    </row>
    <row r="2410" spans="1:7" x14ac:dyDescent="0.4">
      <c r="A2410" t="s">
        <v>4884</v>
      </c>
      <c r="B2410" t="s">
        <v>4885</v>
      </c>
      <c r="C2410" t="s">
        <v>39</v>
      </c>
      <c r="E2410" t="s">
        <v>1674</v>
      </c>
    </row>
    <row r="2411" spans="1:7" x14ac:dyDescent="0.4">
      <c r="A2411" t="s">
        <v>4886</v>
      </c>
      <c r="B2411" t="s">
        <v>4887</v>
      </c>
      <c r="C2411" t="s">
        <v>6</v>
      </c>
      <c r="D2411" t="s">
        <v>7</v>
      </c>
      <c r="E2411" t="s">
        <v>1674</v>
      </c>
    </row>
    <row r="2412" spans="1:7" x14ac:dyDescent="0.4">
      <c r="A2412" t="s">
        <v>4888</v>
      </c>
      <c r="B2412" t="s">
        <v>4889</v>
      </c>
      <c r="C2412" t="s">
        <v>56</v>
      </c>
      <c r="E2412" t="s">
        <v>1674</v>
      </c>
    </row>
    <row r="2413" spans="1:7" x14ac:dyDescent="0.4">
      <c r="A2413" t="s">
        <v>4890</v>
      </c>
      <c r="B2413" t="s">
        <v>4891</v>
      </c>
      <c r="C2413" t="s">
        <v>6</v>
      </c>
      <c r="D2413" t="s">
        <v>10</v>
      </c>
      <c r="E2413" t="s">
        <v>1674</v>
      </c>
    </row>
    <row r="2414" spans="1:7" x14ac:dyDescent="0.4">
      <c r="A2414" t="s">
        <v>4892</v>
      </c>
      <c r="B2414" t="s">
        <v>4893</v>
      </c>
      <c r="C2414" t="s">
        <v>39</v>
      </c>
      <c r="E2414" t="s">
        <v>1674</v>
      </c>
    </row>
    <row r="2415" spans="1:7" x14ac:dyDescent="0.4">
      <c r="A2415" t="s">
        <v>4894</v>
      </c>
      <c r="B2415" t="s">
        <v>4895</v>
      </c>
      <c r="C2415" t="s">
        <v>6</v>
      </c>
      <c r="D2415" t="s">
        <v>21</v>
      </c>
      <c r="E2415" t="s">
        <v>1674</v>
      </c>
    </row>
    <row r="2416" spans="1:7" x14ac:dyDescent="0.4">
      <c r="A2416" t="s">
        <v>4896</v>
      </c>
      <c r="B2416" t="s">
        <v>4897</v>
      </c>
      <c r="C2416" t="s">
        <v>56</v>
      </c>
      <c r="E2416" t="s">
        <v>1674</v>
      </c>
    </row>
    <row r="2417" spans="1:6" x14ac:dyDescent="0.4">
      <c r="A2417" t="s">
        <v>4898</v>
      </c>
      <c r="B2417" t="s">
        <v>4899</v>
      </c>
      <c r="C2417" t="s">
        <v>6</v>
      </c>
      <c r="D2417" t="s">
        <v>36</v>
      </c>
      <c r="E2417" t="s">
        <v>1674</v>
      </c>
    </row>
    <row r="2418" spans="1:6" x14ac:dyDescent="0.4">
      <c r="A2418" t="s">
        <v>4900</v>
      </c>
      <c r="B2418" t="s">
        <v>4901</v>
      </c>
      <c r="C2418" t="s">
        <v>39</v>
      </c>
      <c r="E2418" t="s">
        <v>1674</v>
      </c>
    </row>
    <row r="2419" spans="1:6" x14ac:dyDescent="0.4">
      <c r="A2419" t="s">
        <v>4902</v>
      </c>
      <c r="B2419" t="s">
        <v>4903</v>
      </c>
      <c r="C2419" t="s">
        <v>6</v>
      </c>
      <c r="D2419" t="s">
        <v>30</v>
      </c>
      <c r="E2419" t="s">
        <v>1674</v>
      </c>
    </row>
    <row r="2420" spans="1:6" x14ac:dyDescent="0.4">
      <c r="A2420" t="s">
        <v>4904</v>
      </c>
      <c r="B2420" t="s">
        <v>4905</v>
      </c>
      <c r="C2420" t="s">
        <v>56</v>
      </c>
      <c r="E2420" t="s">
        <v>1674</v>
      </c>
    </row>
    <row r="2421" spans="1:6" x14ac:dyDescent="0.4">
      <c r="A2421" t="s">
        <v>4906</v>
      </c>
      <c r="B2421" t="s">
        <v>4907</v>
      </c>
      <c r="C2421" t="s">
        <v>6</v>
      </c>
      <c r="D2421" t="s">
        <v>27</v>
      </c>
      <c r="E2421" t="s">
        <v>1674</v>
      </c>
    </row>
    <row r="2422" spans="1:6" x14ac:dyDescent="0.4">
      <c r="A2422" t="s">
        <v>4908</v>
      </c>
      <c r="B2422" t="s">
        <v>4909</v>
      </c>
      <c r="C2422" t="s">
        <v>39</v>
      </c>
      <c r="E2422" t="s">
        <v>1674</v>
      </c>
    </row>
    <row r="2423" spans="1:6" x14ac:dyDescent="0.4">
      <c r="A2423" t="s">
        <v>4910</v>
      </c>
      <c r="B2423" t="s">
        <v>4911</v>
      </c>
      <c r="C2423" t="s">
        <v>6</v>
      </c>
      <c r="D2423" t="s">
        <v>7</v>
      </c>
      <c r="E2423" t="s">
        <v>1674</v>
      </c>
    </row>
    <row r="2424" spans="1:6" x14ac:dyDescent="0.4">
      <c r="A2424" t="s">
        <v>4912</v>
      </c>
      <c r="B2424" t="s">
        <v>4913</v>
      </c>
      <c r="C2424" t="s">
        <v>39</v>
      </c>
      <c r="E2424" t="s">
        <v>1674</v>
      </c>
    </row>
    <row r="2425" spans="1:6" x14ac:dyDescent="0.4">
      <c r="A2425" t="s">
        <v>4914</v>
      </c>
      <c r="B2425" t="s">
        <v>4915</v>
      </c>
      <c r="C2425" t="s">
        <v>6</v>
      </c>
      <c r="D2425" t="s">
        <v>33</v>
      </c>
      <c r="E2425" t="s">
        <v>1674</v>
      </c>
      <c r="F2425" t="s">
        <v>56</v>
      </c>
    </row>
    <row r="2426" spans="1:6" x14ac:dyDescent="0.4">
      <c r="A2426" t="s">
        <v>4916</v>
      </c>
      <c r="B2426" t="s">
        <v>4917</v>
      </c>
      <c r="C2426" t="s">
        <v>39</v>
      </c>
      <c r="E2426" t="s">
        <v>1674</v>
      </c>
    </row>
    <row r="2427" spans="1:6" x14ac:dyDescent="0.4">
      <c r="A2427" t="s">
        <v>4918</v>
      </c>
      <c r="B2427" t="s">
        <v>4919</v>
      </c>
      <c r="C2427" t="s">
        <v>6</v>
      </c>
      <c r="D2427" t="s">
        <v>13</v>
      </c>
      <c r="E2427" t="s">
        <v>1674</v>
      </c>
    </row>
    <row r="2428" spans="1:6" x14ac:dyDescent="0.4">
      <c r="A2428" t="s">
        <v>4920</v>
      </c>
      <c r="B2428" t="s">
        <v>4921</v>
      </c>
      <c r="C2428" t="s">
        <v>56</v>
      </c>
      <c r="E2428" t="s">
        <v>1674</v>
      </c>
    </row>
    <row r="2429" spans="1:6" x14ac:dyDescent="0.4">
      <c r="A2429" t="s">
        <v>4922</v>
      </c>
      <c r="B2429" t="s">
        <v>4923</v>
      </c>
      <c r="C2429" t="s">
        <v>6</v>
      </c>
      <c r="D2429" t="s">
        <v>10</v>
      </c>
      <c r="E2429" t="s">
        <v>1674</v>
      </c>
    </row>
    <row r="2430" spans="1:6" x14ac:dyDescent="0.4">
      <c r="A2430" t="s">
        <v>4924</v>
      </c>
      <c r="B2430" t="s">
        <v>4925</v>
      </c>
      <c r="C2430" t="s">
        <v>6</v>
      </c>
      <c r="D2430" t="s">
        <v>21</v>
      </c>
      <c r="E2430" t="s">
        <v>1674</v>
      </c>
    </row>
    <row r="2431" spans="1:6" x14ac:dyDescent="0.4">
      <c r="A2431" t="s">
        <v>4926</v>
      </c>
      <c r="B2431" t="s">
        <v>4927</v>
      </c>
      <c r="C2431" t="s">
        <v>39</v>
      </c>
      <c r="E2431" t="s">
        <v>1674</v>
      </c>
    </row>
    <row r="2432" spans="1:6" x14ac:dyDescent="0.4">
      <c r="A2432" t="s">
        <v>4928</v>
      </c>
      <c r="B2432" t="s">
        <v>4929</v>
      </c>
      <c r="C2432" t="s">
        <v>56</v>
      </c>
      <c r="E2432" t="s">
        <v>1674</v>
      </c>
    </row>
    <row r="2433" spans="1:7" x14ac:dyDescent="0.4">
      <c r="A2433" t="s">
        <v>4930</v>
      </c>
      <c r="B2433" t="s">
        <v>4931</v>
      </c>
      <c r="C2433" t="s">
        <v>6</v>
      </c>
      <c r="D2433" t="s">
        <v>33</v>
      </c>
      <c r="E2433" t="s">
        <v>1674</v>
      </c>
      <c r="G2433" t="s">
        <v>24</v>
      </c>
    </row>
    <row r="2434" spans="1:7" x14ac:dyDescent="0.4">
      <c r="A2434" t="s">
        <v>4932</v>
      </c>
      <c r="B2434" t="s">
        <v>4933</v>
      </c>
      <c r="C2434" t="s">
        <v>39</v>
      </c>
      <c r="E2434" t="s">
        <v>1674</v>
      </c>
    </row>
    <row r="2435" spans="1:7" x14ac:dyDescent="0.4">
      <c r="A2435" t="s">
        <v>4934</v>
      </c>
      <c r="B2435" t="s">
        <v>4935</v>
      </c>
      <c r="C2435" t="s">
        <v>6</v>
      </c>
      <c r="D2435" t="s">
        <v>16</v>
      </c>
      <c r="E2435" t="s">
        <v>1674</v>
      </c>
    </row>
    <row r="2436" spans="1:7" x14ac:dyDescent="0.4">
      <c r="A2436" t="s">
        <v>4936</v>
      </c>
      <c r="B2436" t="s">
        <v>4937</v>
      </c>
      <c r="C2436" t="s">
        <v>6</v>
      </c>
      <c r="D2436" t="s">
        <v>33</v>
      </c>
      <c r="E2436" t="s">
        <v>1674</v>
      </c>
    </row>
    <row r="2437" spans="1:7" x14ac:dyDescent="0.4">
      <c r="A2437" t="s">
        <v>4938</v>
      </c>
      <c r="B2437" t="s">
        <v>4939</v>
      </c>
      <c r="C2437" t="s">
        <v>56</v>
      </c>
      <c r="E2437" t="s">
        <v>1674</v>
      </c>
    </row>
    <row r="2438" spans="1:7" x14ac:dyDescent="0.4">
      <c r="A2438" t="s">
        <v>4940</v>
      </c>
      <c r="B2438" t="s">
        <v>4941</v>
      </c>
      <c r="C2438" t="s">
        <v>6</v>
      </c>
      <c r="D2438" t="s">
        <v>13</v>
      </c>
      <c r="E2438" t="s">
        <v>1674</v>
      </c>
    </row>
    <row r="2439" spans="1:7" x14ac:dyDescent="0.4">
      <c r="A2439" t="s">
        <v>4942</v>
      </c>
      <c r="B2439" t="s">
        <v>4943</v>
      </c>
      <c r="C2439" t="s">
        <v>39</v>
      </c>
      <c r="E2439" t="s">
        <v>1674</v>
      </c>
    </row>
    <row r="2440" spans="1:7" x14ac:dyDescent="0.4">
      <c r="A2440" t="s">
        <v>4944</v>
      </c>
      <c r="B2440" t="s">
        <v>4945</v>
      </c>
      <c r="C2440" t="s">
        <v>6</v>
      </c>
      <c r="D2440" t="s">
        <v>13</v>
      </c>
      <c r="E2440" t="s">
        <v>1674</v>
      </c>
    </row>
    <row r="2441" spans="1:7" x14ac:dyDescent="0.4">
      <c r="A2441" t="s">
        <v>4946</v>
      </c>
      <c r="B2441" t="s">
        <v>4947</v>
      </c>
      <c r="C2441" t="s">
        <v>39</v>
      </c>
      <c r="E2441" t="s">
        <v>1674</v>
      </c>
    </row>
    <row r="2442" spans="1:7" x14ac:dyDescent="0.4">
      <c r="A2442" t="s">
        <v>4948</v>
      </c>
      <c r="B2442" t="s">
        <v>4949</v>
      </c>
      <c r="C2442" t="s">
        <v>56</v>
      </c>
      <c r="E2442" t="s">
        <v>1674</v>
      </c>
    </row>
    <row r="2443" spans="1:7" x14ac:dyDescent="0.4">
      <c r="A2443" t="s">
        <v>4950</v>
      </c>
      <c r="B2443" t="s">
        <v>4951</v>
      </c>
      <c r="C2443" t="s">
        <v>39</v>
      </c>
      <c r="E2443" t="s">
        <v>1674</v>
      </c>
    </row>
    <row r="2444" spans="1:7" x14ac:dyDescent="0.4">
      <c r="A2444" t="s">
        <v>4952</v>
      </c>
      <c r="B2444" t="s">
        <v>4953</v>
      </c>
      <c r="C2444" t="s">
        <v>6</v>
      </c>
      <c r="D2444" t="s">
        <v>7</v>
      </c>
      <c r="E2444" t="s">
        <v>1674</v>
      </c>
    </row>
    <row r="2445" spans="1:7" x14ac:dyDescent="0.4">
      <c r="A2445" t="s">
        <v>4954</v>
      </c>
      <c r="B2445" t="s">
        <v>4955</v>
      </c>
      <c r="C2445" t="s">
        <v>56</v>
      </c>
      <c r="E2445" t="s">
        <v>1674</v>
      </c>
    </row>
    <row r="2446" spans="1:7" x14ac:dyDescent="0.4">
      <c r="A2446" t="s">
        <v>4956</v>
      </c>
      <c r="B2446" t="s">
        <v>4957</v>
      </c>
      <c r="C2446" t="s">
        <v>6</v>
      </c>
      <c r="D2446" t="s">
        <v>10</v>
      </c>
      <c r="E2446" t="s">
        <v>1674</v>
      </c>
    </row>
    <row r="2447" spans="1:7" x14ac:dyDescent="0.4">
      <c r="A2447" t="s">
        <v>4958</v>
      </c>
      <c r="B2447" t="s">
        <v>4959</v>
      </c>
      <c r="C2447" t="s">
        <v>6</v>
      </c>
      <c r="D2447" t="s">
        <v>21</v>
      </c>
      <c r="E2447" t="s">
        <v>1674</v>
      </c>
    </row>
    <row r="2448" spans="1:7" x14ac:dyDescent="0.4">
      <c r="A2448" t="s">
        <v>4960</v>
      </c>
      <c r="B2448" t="s">
        <v>4961</v>
      </c>
      <c r="C2448" t="s">
        <v>39</v>
      </c>
      <c r="E2448" t="s">
        <v>1674</v>
      </c>
    </row>
    <row r="2449" spans="1:7" x14ac:dyDescent="0.4">
      <c r="A2449" t="s">
        <v>4962</v>
      </c>
      <c r="B2449" t="s">
        <v>4963</v>
      </c>
      <c r="C2449" t="s">
        <v>56</v>
      </c>
      <c r="E2449" t="s">
        <v>1674</v>
      </c>
    </row>
    <row r="2450" spans="1:7" x14ac:dyDescent="0.4">
      <c r="A2450" t="s">
        <v>4964</v>
      </c>
      <c r="B2450" t="s">
        <v>4965</v>
      </c>
      <c r="C2450" t="s">
        <v>6</v>
      </c>
      <c r="D2450" t="s">
        <v>33</v>
      </c>
      <c r="E2450" t="s">
        <v>1674</v>
      </c>
      <c r="G2450" t="s">
        <v>27</v>
      </c>
    </row>
    <row r="2451" spans="1:7" x14ac:dyDescent="0.4">
      <c r="A2451" t="s">
        <v>4966</v>
      </c>
      <c r="B2451" t="s">
        <v>4967</v>
      </c>
      <c r="C2451" t="s">
        <v>39</v>
      </c>
      <c r="E2451" t="s">
        <v>1674</v>
      </c>
    </row>
    <row r="2452" spans="1:7" x14ac:dyDescent="0.4">
      <c r="A2452" t="s">
        <v>4968</v>
      </c>
      <c r="B2452" t="s">
        <v>4969</v>
      </c>
      <c r="C2452" t="s">
        <v>6</v>
      </c>
      <c r="D2452" t="s">
        <v>27</v>
      </c>
      <c r="E2452" t="s">
        <v>1674</v>
      </c>
    </row>
    <row r="2453" spans="1:7" x14ac:dyDescent="0.4">
      <c r="A2453" t="s">
        <v>4970</v>
      </c>
      <c r="B2453" t="s">
        <v>4971</v>
      </c>
      <c r="C2453" t="s">
        <v>56</v>
      </c>
      <c r="E2453" t="s">
        <v>1674</v>
      </c>
    </row>
    <row r="2454" spans="1:7" x14ac:dyDescent="0.4">
      <c r="A2454" t="s">
        <v>4972</v>
      </c>
      <c r="B2454" t="s">
        <v>4973</v>
      </c>
      <c r="C2454" t="s">
        <v>6</v>
      </c>
      <c r="D2454" t="s">
        <v>36</v>
      </c>
      <c r="E2454" t="s">
        <v>1674</v>
      </c>
    </row>
    <row r="2455" spans="1:7" x14ac:dyDescent="0.4">
      <c r="A2455" t="s">
        <v>4974</v>
      </c>
      <c r="B2455" t="s">
        <v>4975</v>
      </c>
      <c r="C2455" t="s">
        <v>39</v>
      </c>
      <c r="E2455" t="s">
        <v>1674</v>
      </c>
    </row>
    <row r="2456" spans="1:7" x14ac:dyDescent="0.4">
      <c r="A2456" t="s">
        <v>4976</v>
      </c>
      <c r="B2456" t="s">
        <v>4977</v>
      </c>
      <c r="C2456" t="s">
        <v>6</v>
      </c>
      <c r="D2456" t="s">
        <v>10</v>
      </c>
      <c r="E2456" t="s">
        <v>1674</v>
      </c>
    </row>
    <row r="2457" spans="1:7" x14ac:dyDescent="0.4">
      <c r="A2457" t="s">
        <v>4978</v>
      </c>
      <c r="B2457" t="s">
        <v>4979</v>
      </c>
      <c r="C2457" t="s">
        <v>39</v>
      </c>
      <c r="E2457" t="s">
        <v>1674</v>
      </c>
    </row>
    <row r="2458" spans="1:7" x14ac:dyDescent="0.4">
      <c r="A2458" t="s">
        <v>4980</v>
      </c>
      <c r="B2458" t="s">
        <v>4981</v>
      </c>
      <c r="C2458" t="s">
        <v>56</v>
      </c>
      <c r="E2458" t="s">
        <v>1674</v>
      </c>
    </row>
    <row r="2459" spans="1:7" x14ac:dyDescent="0.4">
      <c r="A2459" t="s">
        <v>4982</v>
      </c>
      <c r="B2459" t="s">
        <v>4983</v>
      </c>
      <c r="C2459" t="s">
        <v>39</v>
      </c>
      <c r="E2459" t="s">
        <v>1674</v>
      </c>
    </row>
    <row r="2460" spans="1:7" x14ac:dyDescent="0.4">
      <c r="A2460" t="s">
        <v>4984</v>
      </c>
      <c r="B2460" t="s">
        <v>4985</v>
      </c>
      <c r="C2460" t="s">
        <v>6</v>
      </c>
      <c r="D2460" t="s">
        <v>13</v>
      </c>
      <c r="E2460" t="s">
        <v>1674</v>
      </c>
    </row>
    <row r="2461" spans="1:7" x14ac:dyDescent="0.4">
      <c r="A2461" t="s">
        <v>4986</v>
      </c>
      <c r="B2461" t="s">
        <v>4987</v>
      </c>
      <c r="C2461" t="s">
        <v>56</v>
      </c>
      <c r="E2461" t="s">
        <v>1674</v>
      </c>
    </row>
    <row r="2462" spans="1:7" x14ac:dyDescent="0.4">
      <c r="A2462" t="s">
        <v>4988</v>
      </c>
      <c r="B2462" t="s">
        <v>4989</v>
      </c>
      <c r="C2462" t="s">
        <v>6</v>
      </c>
      <c r="D2462" t="s">
        <v>10</v>
      </c>
      <c r="E2462" t="s">
        <v>1674</v>
      </c>
    </row>
    <row r="2463" spans="1:7" x14ac:dyDescent="0.4">
      <c r="A2463" t="s">
        <v>4990</v>
      </c>
      <c r="B2463" t="s">
        <v>4991</v>
      </c>
      <c r="C2463" t="s">
        <v>6</v>
      </c>
      <c r="D2463" t="s">
        <v>21</v>
      </c>
      <c r="E2463" t="s">
        <v>1674</v>
      </c>
    </row>
    <row r="2464" spans="1:7" x14ac:dyDescent="0.4">
      <c r="A2464" t="s">
        <v>4992</v>
      </c>
      <c r="B2464" t="s">
        <v>4993</v>
      </c>
      <c r="C2464" t="s">
        <v>39</v>
      </c>
      <c r="E2464" t="s">
        <v>1674</v>
      </c>
    </row>
    <row r="2465" spans="1:7" x14ac:dyDescent="0.4">
      <c r="A2465" t="s">
        <v>4994</v>
      </c>
      <c r="B2465" t="s">
        <v>4995</v>
      </c>
      <c r="C2465" t="s">
        <v>56</v>
      </c>
      <c r="E2465" t="s">
        <v>1674</v>
      </c>
    </row>
    <row r="2466" spans="1:7" x14ac:dyDescent="0.4">
      <c r="A2466" t="s">
        <v>4996</v>
      </c>
      <c r="B2466" t="s">
        <v>4997</v>
      </c>
      <c r="C2466" t="s">
        <v>6</v>
      </c>
      <c r="D2466" t="s">
        <v>27</v>
      </c>
      <c r="E2466" t="s">
        <v>1674</v>
      </c>
    </row>
    <row r="2467" spans="1:7" x14ac:dyDescent="0.4">
      <c r="A2467" t="s">
        <v>4998</v>
      </c>
      <c r="B2467" t="s">
        <v>4999</v>
      </c>
      <c r="C2467" t="s">
        <v>39</v>
      </c>
      <c r="E2467" t="s">
        <v>1674</v>
      </c>
    </row>
    <row r="2468" spans="1:7" x14ac:dyDescent="0.4">
      <c r="A2468" t="s">
        <v>5000</v>
      </c>
      <c r="B2468" t="s">
        <v>5001</v>
      </c>
      <c r="C2468" t="s">
        <v>6</v>
      </c>
      <c r="D2468" t="s">
        <v>16</v>
      </c>
      <c r="E2468" t="s">
        <v>1674</v>
      </c>
    </row>
    <row r="2469" spans="1:7" x14ac:dyDescent="0.4">
      <c r="A2469" t="s">
        <v>5002</v>
      </c>
      <c r="B2469" t="s">
        <v>5003</v>
      </c>
      <c r="C2469" t="s">
        <v>6</v>
      </c>
      <c r="D2469" t="s">
        <v>33</v>
      </c>
      <c r="E2469" t="s">
        <v>1674</v>
      </c>
    </row>
    <row r="2470" spans="1:7" x14ac:dyDescent="0.4">
      <c r="A2470" t="s">
        <v>5004</v>
      </c>
      <c r="B2470" t="s">
        <v>5005</v>
      </c>
      <c r="C2470" t="s">
        <v>56</v>
      </c>
      <c r="E2470" t="s">
        <v>1674</v>
      </c>
    </row>
    <row r="2471" spans="1:7" x14ac:dyDescent="0.4">
      <c r="A2471" t="s">
        <v>5006</v>
      </c>
      <c r="B2471" t="s">
        <v>5007</v>
      </c>
      <c r="C2471" t="s">
        <v>39</v>
      </c>
      <c r="E2471" t="s">
        <v>1674</v>
      </c>
    </row>
    <row r="2472" spans="1:7" x14ac:dyDescent="0.4">
      <c r="A2472" t="s">
        <v>5008</v>
      </c>
      <c r="B2472" t="s">
        <v>5009</v>
      </c>
      <c r="C2472" t="s">
        <v>6</v>
      </c>
      <c r="D2472" t="s">
        <v>36</v>
      </c>
      <c r="E2472" t="s">
        <v>1674</v>
      </c>
    </row>
    <row r="2473" spans="1:7" x14ac:dyDescent="0.4">
      <c r="A2473" t="s">
        <v>5010</v>
      </c>
      <c r="B2473" t="s">
        <v>5011</v>
      </c>
      <c r="C2473" t="s">
        <v>6</v>
      </c>
      <c r="D2473" t="s">
        <v>33</v>
      </c>
      <c r="E2473" t="s">
        <v>2206</v>
      </c>
      <c r="G2473" t="s">
        <v>36</v>
      </c>
    </row>
    <row r="2474" spans="1:7" x14ac:dyDescent="0.4">
      <c r="A2474" t="s">
        <v>5012</v>
      </c>
      <c r="B2474" t="s">
        <v>5013</v>
      </c>
      <c r="C2474" t="s">
        <v>39</v>
      </c>
      <c r="E2474" t="s">
        <v>2206</v>
      </c>
    </row>
    <row r="2475" spans="1:7" x14ac:dyDescent="0.4">
      <c r="A2475" t="s">
        <v>5014</v>
      </c>
      <c r="B2475" t="s">
        <v>5015</v>
      </c>
      <c r="C2475" t="s">
        <v>6</v>
      </c>
      <c r="D2475" t="s">
        <v>10</v>
      </c>
      <c r="E2475" t="s">
        <v>2206</v>
      </c>
      <c r="G2475" t="s">
        <v>16</v>
      </c>
    </row>
    <row r="2476" spans="1:7" x14ac:dyDescent="0.4">
      <c r="A2476" t="s">
        <v>5016</v>
      </c>
      <c r="B2476" t="s">
        <v>5017</v>
      </c>
      <c r="C2476" t="s">
        <v>56</v>
      </c>
      <c r="E2476" t="s">
        <v>2206</v>
      </c>
    </row>
    <row r="2477" spans="1:7" x14ac:dyDescent="0.4">
      <c r="A2477" t="s">
        <v>5018</v>
      </c>
      <c r="B2477" t="s">
        <v>5019</v>
      </c>
      <c r="C2477" t="s">
        <v>6</v>
      </c>
      <c r="D2477" t="s">
        <v>36</v>
      </c>
      <c r="E2477" t="s">
        <v>2206</v>
      </c>
    </row>
    <row r="2478" spans="1:7" x14ac:dyDescent="0.4">
      <c r="A2478" t="s">
        <v>5020</v>
      </c>
      <c r="B2478" t="s">
        <v>5021</v>
      </c>
      <c r="C2478" t="s">
        <v>39</v>
      </c>
      <c r="E2478" t="s">
        <v>2206</v>
      </c>
    </row>
    <row r="2479" spans="1:7" x14ac:dyDescent="0.4">
      <c r="A2479" t="s">
        <v>5022</v>
      </c>
      <c r="B2479" t="s">
        <v>5023</v>
      </c>
      <c r="C2479" t="s">
        <v>6</v>
      </c>
      <c r="D2479" t="s">
        <v>36</v>
      </c>
      <c r="E2479" t="s">
        <v>2206</v>
      </c>
    </row>
    <row r="2480" spans="1:7" x14ac:dyDescent="0.4">
      <c r="A2480" t="s">
        <v>5024</v>
      </c>
      <c r="B2480" t="s">
        <v>5025</v>
      </c>
      <c r="C2480" t="s">
        <v>6</v>
      </c>
      <c r="D2480" t="s">
        <v>21</v>
      </c>
      <c r="E2480" t="s">
        <v>2206</v>
      </c>
    </row>
    <row r="2481" spans="1:7" x14ac:dyDescent="0.4">
      <c r="A2481" t="s">
        <v>5026</v>
      </c>
      <c r="B2481" t="s">
        <v>5027</v>
      </c>
      <c r="C2481" t="s">
        <v>56</v>
      </c>
      <c r="E2481" t="s">
        <v>2206</v>
      </c>
      <c r="F2481" t="s">
        <v>6</v>
      </c>
    </row>
    <row r="2482" spans="1:7" x14ac:dyDescent="0.4">
      <c r="A2482" t="s">
        <v>5028</v>
      </c>
      <c r="B2482" t="s">
        <v>5029</v>
      </c>
      <c r="C2482" t="s">
        <v>39</v>
      </c>
      <c r="E2482" t="s">
        <v>2206</v>
      </c>
    </row>
    <row r="2483" spans="1:7" x14ac:dyDescent="0.4">
      <c r="A2483" t="s">
        <v>5030</v>
      </c>
      <c r="B2483" t="s">
        <v>5031</v>
      </c>
      <c r="C2483" t="s">
        <v>56</v>
      </c>
      <c r="E2483" t="s">
        <v>2206</v>
      </c>
    </row>
    <row r="2484" spans="1:7" x14ac:dyDescent="0.4">
      <c r="A2484" t="s">
        <v>5032</v>
      </c>
      <c r="B2484" t="s">
        <v>5033</v>
      </c>
      <c r="C2484" t="s">
        <v>6</v>
      </c>
      <c r="D2484" t="s">
        <v>1126</v>
      </c>
      <c r="E2484" t="s">
        <v>2206</v>
      </c>
    </row>
    <row r="2485" spans="1:7" x14ac:dyDescent="0.4">
      <c r="A2485" t="s">
        <v>5034</v>
      </c>
      <c r="B2485" t="s">
        <v>5035</v>
      </c>
      <c r="C2485" t="s">
        <v>6</v>
      </c>
      <c r="D2485" t="s">
        <v>10</v>
      </c>
      <c r="E2485" t="s">
        <v>2206</v>
      </c>
    </row>
    <row r="2486" spans="1:7" x14ac:dyDescent="0.4">
      <c r="A2486" t="s">
        <v>5036</v>
      </c>
      <c r="B2486" t="s">
        <v>5037</v>
      </c>
      <c r="C2486" t="s">
        <v>56</v>
      </c>
      <c r="E2486" t="s">
        <v>2206</v>
      </c>
      <c r="F2486" t="s">
        <v>39</v>
      </c>
    </row>
    <row r="2487" spans="1:7" x14ac:dyDescent="0.4">
      <c r="A2487" t="s">
        <v>5038</v>
      </c>
      <c r="B2487" t="s">
        <v>5039</v>
      </c>
      <c r="C2487" t="s">
        <v>6</v>
      </c>
      <c r="D2487" t="s">
        <v>13</v>
      </c>
      <c r="E2487" t="s">
        <v>2206</v>
      </c>
      <c r="G2487" t="s">
        <v>21</v>
      </c>
    </row>
    <row r="2488" spans="1:7" x14ac:dyDescent="0.4">
      <c r="A2488" t="s">
        <v>5040</v>
      </c>
      <c r="B2488" t="s">
        <v>5041</v>
      </c>
      <c r="C2488" t="s">
        <v>6</v>
      </c>
      <c r="D2488" t="s">
        <v>7</v>
      </c>
      <c r="E2488" t="s">
        <v>2206</v>
      </c>
    </row>
    <row r="2489" spans="1:7" x14ac:dyDescent="0.4">
      <c r="A2489" t="s">
        <v>5042</v>
      </c>
      <c r="B2489" t="s">
        <v>5043</v>
      </c>
      <c r="C2489" t="s">
        <v>39</v>
      </c>
      <c r="E2489" t="s">
        <v>2206</v>
      </c>
    </row>
    <row r="2490" spans="1:7" x14ac:dyDescent="0.4">
      <c r="A2490" t="s">
        <v>5044</v>
      </c>
      <c r="B2490" t="s">
        <v>5045</v>
      </c>
      <c r="C2490" t="s">
        <v>56</v>
      </c>
      <c r="E2490" t="s">
        <v>2206</v>
      </c>
    </row>
    <row r="2491" spans="1:7" x14ac:dyDescent="0.4">
      <c r="A2491" t="s">
        <v>5046</v>
      </c>
      <c r="B2491" t="s">
        <v>5047</v>
      </c>
      <c r="C2491" t="s">
        <v>6</v>
      </c>
      <c r="D2491" t="s">
        <v>30</v>
      </c>
      <c r="E2491" t="s">
        <v>2206</v>
      </c>
    </row>
    <row r="2492" spans="1:7" x14ac:dyDescent="0.4">
      <c r="A2492" t="s">
        <v>5048</v>
      </c>
      <c r="B2492" t="s">
        <v>5049</v>
      </c>
      <c r="C2492" t="s">
        <v>6</v>
      </c>
      <c r="D2492" t="s">
        <v>33</v>
      </c>
      <c r="E2492" t="s">
        <v>2206</v>
      </c>
    </row>
    <row r="2493" spans="1:7" x14ac:dyDescent="0.4">
      <c r="A2493" t="s">
        <v>5050</v>
      </c>
      <c r="B2493" t="s">
        <v>5051</v>
      </c>
      <c r="C2493" t="s">
        <v>6</v>
      </c>
      <c r="D2493" t="s">
        <v>36</v>
      </c>
      <c r="E2493" t="s">
        <v>2206</v>
      </c>
    </row>
    <row r="2494" spans="1:7" x14ac:dyDescent="0.4">
      <c r="A2494" t="s">
        <v>5052</v>
      </c>
      <c r="B2494" t="s">
        <v>5053</v>
      </c>
      <c r="C2494" t="s">
        <v>6</v>
      </c>
      <c r="D2494" t="s">
        <v>1126</v>
      </c>
      <c r="E2494" t="s">
        <v>2206</v>
      </c>
    </row>
    <row r="2495" spans="1:7" x14ac:dyDescent="0.4">
      <c r="A2495" t="s">
        <v>5054</v>
      </c>
      <c r="B2495" t="s">
        <v>5055</v>
      </c>
      <c r="C2495" t="s">
        <v>6</v>
      </c>
      <c r="D2495" t="s">
        <v>13</v>
      </c>
      <c r="E2495" t="s">
        <v>2206</v>
      </c>
    </row>
    <row r="2496" spans="1:7" x14ac:dyDescent="0.4">
      <c r="A2496" t="s">
        <v>5056</v>
      </c>
      <c r="B2496" t="s">
        <v>5057</v>
      </c>
      <c r="C2496" t="s">
        <v>6</v>
      </c>
      <c r="D2496" t="s">
        <v>7</v>
      </c>
      <c r="E2496" t="s">
        <v>2206</v>
      </c>
    </row>
    <row r="2497" spans="1:5" x14ac:dyDescent="0.4">
      <c r="A2497" t="s">
        <v>5058</v>
      </c>
      <c r="B2497" t="s">
        <v>5059</v>
      </c>
      <c r="C2497" t="s">
        <v>39</v>
      </c>
      <c r="E2497" t="s">
        <v>2206</v>
      </c>
    </row>
    <row r="2498" spans="1:5" x14ac:dyDescent="0.4">
      <c r="A2498" t="s">
        <v>5060</v>
      </c>
      <c r="B2498" t="s">
        <v>5061</v>
      </c>
      <c r="C2498" t="s">
        <v>56</v>
      </c>
      <c r="E2498" t="s">
        <v>2206</v>
      </c>
    </row>
    <row r="2499" spans="1:5" x14ac:dyDescent="0.4">
      <c r="A2499" t="s">
        <v>5062</v>
      </c>
      <c r="B2499" t="s">
        <v>5063</v>
      </c>
      <c r="C2499" t="s">
        <v>39</v>
      </c>
      <c r="E2499" t="s">
        <v>2206</v>
      </c>
    </row>
    <row r="2500" spans="1:5" x14ac:dyDescent="0.4">
      <c r="A2500" t="s">
        <v>5064</v>
      </c>
      <c r="B2500" t="s">
        <v>5065</v>
      </c>
      <c r="C2500" t="s">
        <v>6</v>
      </c>
      <c r="D2500" t="s">
        <v>36</v>
      </c>
      <c r="E2500" t="s">
        <v>2206</v>
      </c>
    </row>
    <row r="2501" spans="1:5" x14ac:dyDescent="0.4">
      <c r="A2501" t="s">
        <v>5066</v>
      </c>
      <c r="B2501" t="s">
        <v>5067</v>
      </c>
      <c r="C2501" t="s">
        <v>6</v>
      </c>
      <c r="D2501" t="s">
        <v>27</v>
      </c>
      <c r="E2501" t="s">
        <v>2206</v>
      </c>
    </row>
    <row r="2502" spans="1:5" x14ac:dyDescent="0.4">
      <c r="A2502" t="s">
        <v>5068</v>
      </c>
      <c r="B2502" t="s">
        <v>5069</v>
      </c>
      <c r="C2502" t="s">
        <v>6</v>
      </c>
      <c r="D2502" t="s">
        <v>36</v>
      </c>
      <c r="E2502" t="s">
        <v>2206</v>
      </c>
    </row>
    <row r="2503" spans="1:5" x14ac:dyDescent="0.4">
      <c r="A2503" t="s">
        <v>5070</v>
      </c>
      <c r="B2503" t="s">
        <v>5071</v>
      </c>
      <c r="C2503" t="s">
        <v>39</v>
      </c>
      <c r="E2503" t="s">
        <v>2206</v>
      </c>
    </row>
    <row r="2504" spans="1:5" x14ac:dyDescent="0.4">
      <c r="A2504" t="s">
        <v>5072</v>
      </c>
      <c r="B2504" t="s">
        <v>5073</v>
      </c>
      <c r="C2504" t="s">
        <v>56</v>
      </c>
      <c r="E2504" t="s">
        <v>2206</v>
      </c>
    </row>
    <row r="2505" spans="1:5" x14ac:dyDescent="0.4">
      <c r="A2505" t="s">
        <v>5074</v>
      </c>
      <c r="B2505" t="s">
        <v>5075</v>
      </c>
      <c r="C2505" t="s">
        <v>56</v>
      </c>
      <c r="E2505" t="s">
        <v>2206</v>
      </c>
    </row>
    <row r="2506" spans="1:5" x14ac:dyDescent="0.4">
      <c r="A2506" t="s">
        <v>5076</v>
      </c>
      <c r="B2506" t="s">
        <v>5077</v>
      </c>
      <c r="C2506" t="s">
        <v>6</v>
      </c>
      <c r="D2506" t="s">
        <v>10</v>
      </c>
      <c r="E2506" t="s">
        <v>2206</v>
      </c>
    </row>
    <row r="2507" spans="1:5" x14ac:dyDescent="0.4">
      <c r="A2507" t="s">
        <v>5078</v>
      </c>
      <c r="B2507" t="s">
        <v>5079</v>
      </c>
      <c r="C2507" t="s">
        <v>39</v>
      </c>
      <c r="E2507" t="s">
        <v>2206</v>
      </c>
    </row>
    <row r="2508" spans="1:5" x14ac:dyDescent="0.4">
      <c r="A2508" t="s">
        <v>5080</v>
      </c>
      <c r="B2508" t="s">
        <v>5081</v>
      </c>
      <c r="C2508" t="s">
        <v>6</v>
      </c>
      <c r="D2508" t="s">
        <v>24</v>
      </c>
      <c r="E2508" t="s">
        <v>2206</v>
      </c>
    </row>
    <row r="2509" spans="1:5" x14ac:dyDescent="0.4">
      <c r="A2509" t="s">
        <v>5082</v>
      </c>
      <c r="B2509" t="s">
        <v>5083</v>
      </c>
      <c r="C2509" t="s">
        <v>6</v>
      </c>
      <c r="D2509" t="s">
        <v>33</v>
      </c>
      <c r="E2509" t="s">
        <v>2206</v>
      </c>
    </row>
    <row r="2510" spans="1:5" x14ac:dyDescent="0.4">
      <c r="A2510" t="s">
        <v>5084</v>
      </c>
      <c r="B2510" t="s">
        <v>5085</v>
      </c>
      <c r="C2510" t="s">
        <v>6</v>
      </c>
      <c r="D2510" t="s">
        <v>36</v>
      </c>
      <c r="E2510" t="s">
        <v>2206</v>
      </c>
    </row>
    <row r="2511" spans="1:5" x14ac:dyDescent="0.4">
      <c r="A2511" t="s">
        <v>5086</v>
      </c>
      <c r="B2511" t="s">
        <v>5087</v>
      </c>
      <c r="C2511" t="s">
        <v>6</v>
      </c>
      <c r="D2511" t="s">
        <v>10</v>
      </c>
      <c r="E2511" t="s">
        <v>2206</v>
      </c>
    </row>
    <row r="2512" spans="1:5" x14ac:dyDescent="0.4">
      <c r="A2512" t="s">
        <v>5088</v>
      </c>
      <c r="B2512" t="s">
        <v>5089</v>
      </c>
      <c r="C2512" t="s">
        <v>6</v>
      </c>
      <c r="D2512" t="s">
        <v>13</v>
      </c>
      <c r="E2512" t="s">
        <v>2206</v>
      </c>
    </row>
    <row r="2513" spans="1:7" x14ac:dyDescent="0.4">
      <c r="A2513" t="s">
        <v>5090</v>
      </c>
      <c r="B2513" t="s">
        <v>5091</v>
      </c>
      <c r="C2513" t="s">
        <v>39</v>
      </c>
      <c r="E2513" t="s">
        <v>2206</v>
      </c>
    </row>
    <row r="2514" spans="1:7" x14ac:dyDescent="0.4">
      <c r="A2514" t="s">
        <v>5092</v>
      </c>
      <c r="B2514" t="s">
        <v>5093</v>
      </c>
      <c r="C2514" t="s">
        <v>39</v>
      </c>
      <c r="E2514" t="s">
        <v>2206</v>
      </c>
    </row>
    <row r="2515" spans="1:7" x14ac:dyDescent="0.4">
      <c r="A2515" t="s">
        <v>5094</v>
      </c>
      <c r="B2515" t="s">
        <v>5095</v>
      </c>
      <c r="C2515" t="s">
        <v>39</v>
      </c>
      <c r="E2515" t="s">
        <v>2206</v>
      </c>
    </row>
    <row r="2516" spans="1:7" x14ac:dyDescent="0.4">
      <c r="A2516" t="s">
        <v>5096</v>
      </c>
      <c r="B2516" t="s">
        <v>5097</v>
      </c>
      <c r="C2516" t="s">
        <v>6</v>
      </c>
      <c r="D2516" t="s">
        <v>1126</v>
      </c>
      <c r="E2516" t="s">
        <v>2206</v>
      </c>
    </row>
    <row r="2517" spans="1:7" x14ac:dyDescent="0.4">
      <c r="A2517" t="s">
        <v>5098</v>
      </c>
      <c r="B2517" t="s">
        <v>5099</v>
      </c>
      <c r="C2517" t="s">
        <v>39</v>
      </c>
      <c r="E2517" t="s">
        <v>2206</v>
      </c>
    </row>
    <row r="2518" spans="1:7" x14ac:dyDescent="0.4">
      <c r="A2518" t="s">
        <v>5100</v>
      </c>
      <c r="B2518" t="s">
        <v>5101</v>
      </c>
      <c r="C2518" t="s">
        <v>6</v>
      </c>
      <c r="D2518" t="s">
        <v>1126</v>
      </c>
      <c r="E2518" t="s">
        <v>2206</v>
      </c>
    </row>
    <row r="2519" spans="1:7" x14ac:dyDescent="0.4">
      <c r="A2519" t="s">
        <v>5102</v>
      </c>
      <c r="B2519" t="s">
        <v>5103</v>
      </c>
      <c r="C2519" t="s">
        <v>56</v>
      </c>
      <c r="E2519" t="s">
        <v>2206</v>
      </c>
    </row>
    <row r="2520" spans="1:7" x14ac:dyDescent="0.4">
      <c r="A2520" t="s">
        <v>5104</v>
      </c>
      <c r="B2520" t="s">
        <v>5105</v>
      </c>
      <c r="C2520" t="s">
        <v>56</v>
      </c>
      <c r="E2520" t="s">
        <v>2206</v>
      </c>
    </row>
    <row r="2521" spans="1:7" x14ac:dyDescent="0.4">
      <c r="A2521" t="s">
        <v>5106</v>
      </c>
      <c r="B2521" t="s">
        <v>5107</v>
      </c>
      <c r="C2521" t="s">
        <v>56</v>
      </c>
      <c r="E2521" t="s">
        <v>2206</v>
      </c>
    </row>
    <row r="2522" spans="1:7" x14ac:dyDescent="0.4">
      <c r="A2522" t="s">
        <v>5108</v>
      </c>
      <c r="B2522" t="s">
        <v>5109</v>
      </c>
      <c r="C2522" t="s">
        <v>56</v>
      </c>
      <c r="E2522" t="s">
        <v>2206</v>
      </c>
    </row>
    <row r="2523" spans="1:7" x14ac:dyDescent="0.4">
      <c r="A2523" t="s">
        <v>5110</v>
      </c>
      <c r="B2523" t="s">
        <v>5111</v>
      </c>
      <c r="C2523" t="s">
        <v>6</v>
      </c>
      <c r="D2523" t="s">
        <v>36</v>
      </c>
      <c r="E2523" t="s">
        <v>2206</v>
      </c>
    </row>
    <row r="2524" spans="1:7" x14ac:dyDescent="0.4">
      <c r="A2524" t="s">
        <v>5112</v>
      </c>
      <c r="B2524" t="s">
        <v>5113</v>
      </c>
      <c r="C2524" t="s">
        <v>6</v>
      </c>
      <c r="D2524" t="s">
        <v>7</v>
      </c>
      <c r="E2524" t="s">
        <v>2206</v>
      </c>
    </row>
    <row r="2525" spans="1:7" x14ac:dyDescent="0.4">
      <c r="A2525" t="s">
        <v>5114</v>
      </c>
      <c r="B2525" t="s">
        <v>5115</v>
      </c>
      <c r="C2525" t="s">
        <v>6</v>
      </c>
      <c r="D2525" t="s">
        <v>10</v>
      </c>
      <c r="E2525" t="s">
        <v>2206</v>
      </c>
    </row>
    <row r="2526" spans="1:7" x14ac:dyDescent="0.4">
      <c r="A2526" t="s">
        <v>5116</v>
      </c>
      <c r="B2526" t="s">
        <v>5117</v>
      </c>
      <c r="C2526" t="s">
        <v>6</v>
      </c>
      <c r="D2526" t="s">
        <v>33</v>
      </c>
      <c r="E2526" t="s">
        <v>2206</v>
      </c>
      <c r="G2526" t="s">
        <v>36</v>
      </c>
    </row>
    <row r="2527" spans="1:7" x14ac:dyDescent="0.4">
      <c r="A2527" t="s">
        <v>5118</v>
      </c>
      <c r="B2527" t="s">
        <v>5119</v>
      </c>
      <c r="C2527" t="s">
        <v>6</v>
      </c>
      <c r="D2527" t="s">
        <v>1126</v>
      </c>
      <c r="E2527" t="s">
        <v>2206</v>
      </c>
    </row>
    <row r="2528" spans="1:7" x14ac:dyDescent="0.4">
      <c r="A2528" t="s">
        <v>5120</v>
      </c>
      <c r="B2528" t="s">
        <v>5121</v>
      </c>
      <c r="C2528" t="s">
        <v>39</v>
      </c>
      <c r="E2528" t="s">
        <v>2206</v>
      </c>
    </row>
    <row r="2529" spans="1:5" x14ac:dyDescent="0.4">
      <c r="A2529" t="s">
        <v>5122</v>
      </c>
      <c r="B2529" t="s">
        <v>5123</v>
      </c>
      <c r="C2529" t="s">
        <v>39</v>
      </c>
      <c r="E2529" t="s">
        <v>2206</v>
      </c>
    </row>
    <row r="2530" spans="1:5" x14ac:dyDescent="0.4">
      <c r="A2530" t="s">
        <v>5124</v>
      </c>
      <c r="B2530" t="s">
        <v>5125</v>
      </c>
      <c r="C2530" t="s">
        <v>39</v>
      </c>
      <c r="E2530" t="s">
        <v>2206</v>
      </c>
    </row>
    <row r="2531" spans="1:5" x14ac:dyDescent="0.4">
      <c r="A2531" t="s">
        <v>5126</v>
      </c>
      <c r="B2531" t="s">
        <v>5127</v>
      </c>
      <c r="C2531" t="s">
        <v>39</v>
      </c>
      <c r="E2531" t="s">
        <v>2206</v>
      </c>
    </row>
    <row r="2532" spans="1:5" x14ac:dyDescent="0.4">
      <c r="A2532" t="s">
        <v>5128</v>
      </c>
      <c r="B2532" t="s">
        <v>5129</v>
      </c>
      <c r="C2532" t="s">
        <v>39</v>
      </c>
      <c r="E2532" t="s">
        <v>2206</v>
      </c>
    </row>
    <row r="2533" spans="1:5" x14ac:dyDescent="0.4">
      <c r="A2533" t="s">
        <v>5130</v>
      </c>
      <c r="B2533" t="s">
        <v>5131</v>
      </c>
      <c r="C2533" t="s">
        <v>56</v>
      </c>
      <c r="E2533" t="s">
        <v>2206</v>
      </c>
    </row>
    <row r="2534" spans="1:5" x14ac:dyDescent="0.4">
      <c r="A2534" t="s">
        <v>5132</v>
      </c>
      <c r="B2534" t="s">
        <v>5133</v>
      </c>
      <c r="C2534" t="s">
        <v>56</v>
      </c>
      <c r="E2534" t="s">
        <v>2206</v>
      </c>
    </row>
    <row r="2535" spans="1:5" x14ac:dyDescent="0.4">
      <c r="A2535" t="s">
        <v>5134</v>
      </c>
      <c r="B2535" t="s">
        <v>5135</v>
      </c>
      <c r="C2535" t="s">
        <v>56</v>
      </c>
      <c r="E2535" t="s">
        <v>2206</v>
      </c>
    </row>
    <row r="2536" spans="1:5" x14ac:dyDescent="0.4">
      <c r="A2536" t="s">
        <v>5136</v>
      </c>
      <c r="B2536" t="s">
        <v>5137</v>
      </c>
      <c r="C2536" t="s">
        <v>56</v>
      </c>
      <c r="E2536" t="s">
        <v>2206</v>
      </c>
    </row>
    <row r="2537" spans="1:5" x14ac:dyDescent="0.4">
      <c r="A2537" t="s">
        <v>5138</v>
      </c>
      <c r="B2537" t="s">
        <v>5139</v>
      </c>
      <c r="C2537" t="s">
        <v>56</v>
      </c>
      <c r="E2537" t="s">
        <v>2206</v>
      </c>
    </row>
    <row r="2538" spans="1:5" x14ac:dyDescent="0.4">
      <c r="A2538" t="s">
        <v>5140</v>
      </c>
      <c r="B2538" t="s">
        <v>5141</v>
      </c>
      <c r="C2538" t="s">
        <v>6</v>
      </c>
      <c r="D2538" t="s">
        <v>16</v>
      </c>
      <c r="E2538" t="s">
        <v>2206</v>
      </c>
    </row>
    <row r="2539" spans="1:5" x14ac:dyDescent="0.4">
      <c r="A2539" t="s">
        <v>5142</v>
      </c>
      <c r="B2539" t="s">
        <v>5143</v>
      </c>
      <c r="C2539" t="s">
        <v>6</v>
      </c>
      <c r="D2539" t="s">
        <v>1126</v>
      </c>
      <c r="E2539" t="s">
        <v>2206</v>
      </c>
    </row>
    <row r="2540" spans="1:5" x14ac:dyDescent="0.4">
      <c r="A2540" t="s">
        <v>5144</v>
      </c>
      <c r="B2540" t="s">
        <v>5145</v>
      </c>
      <c r="C2540" t="s">
        <v>6</v>
      </c>
      <c r="D2540" t="s">
        <v>36</v>
      </c>
      <c r="E2540" t="s">
        <v>2206</v>
      </c>
    </row>
    <row r="2541" spans="1:5" x14ac:dyDescent="0.4">
      <c r="A2541" t="s">
        <v>5146</v>
      </c>
      <c r="B2541" t="s">
        <v>5147</v>
      </c>
      <c r="C2541" t="s">
        <v>6</v>
      </c>
      <c r="D2541" t="s">
        <v>10</v>
      </c>
      <c r="E2541" t="s">
        <v>2206</v>
      </c>
    </row>
    <row r="2542" spans="1:5" x14ac:dyDescent="0.4">
      <c r="A2542" t="s">
        <v>5148</v>
      </c>
      <c r="B2542" t="s">
        <v>5149</v>
      </c>
      <c r="C2542" t="s">
        <v>6</v>
      </c>
      <c r="D2542" t="s">
        <v>30</v>
      </c>
      <c r="E2542" t="s">
        <v>2206</v>
      </c>
    </row>
    <row r="2543" spans="1:5" x14ac:dyDescent="0.4">
      <c r="A2543" t="s">
        <v>5150</v>
      </c>
      <c r="B2543" t="s">
        <v>5151</v>
      </c>
      <c r="C2543" t="s">
        <v>39</v>
      </c>
      <c r="E2543" t="s">
        <v>2206</v>
      </c>
    </row>
    <row r="2544" spans="1:5" x14ac:dyDescent="0.4">
      <c r="A2544" t="s">
        <v>5152</v>
      </c>
      <c r="B2544" t="s">
        <v>5153</v>
      </c>
      <c r="C2544" t="s">
        <v>39</v>
      </c>
      <c r="E2544" t="s">
        <v>2206</v>
      </c>
    </row>
    <row r="2545" spans="1:7" x14ac:dyDescent="0.4">
      <c r="A2545" t="s">
        <v>5154</v>
      </c>
      <c r="B2545" t="s">
        <v>5155</v>
      </c>
      <c r="C2545" t="s">
        <v>39</v>
      </c>
      <c r="E2545" t="s">
        <v>2206</v>
      </c>
    </row>
    <row r="2546" spans="1:7" x14ac:dyDescent="0.4">
      <c r="A2546" t="s">
        <v>5156</v>
      </c>
      <c r="B2546" t="s">
        <v>5157</v>
      </c>
      <c r="C2546" t="s">
        <v>39</v>
      </c>
      <c r="E2546" t="s">
        <v>2206</v>
      </c>
    </row>
    <row r="2547" spans="1:7" x14ac:dyDescent="0.4">
      <c r="A2547" t="s">
        <v>5158</v>
      </c>
      <c r="B2547" t="s">
        <v>5159</v>
      </c>
      <c r="C2547" t="s">
        <v>39</v>
      </c>
      <c r="E2547" t="s">
        <v>2206</v>
      </c>
    </row>
    <row r="2548" spans="1:7" x14ac:dyDescent="0.4">
      <c r="A2548" t="s">
        <v>5160</v>
      </c>
      <c r="B2548" t="s">
        <v>5161</v>
      </c>
      <c r="C2548" t="s">
        <v>56</v>
      </c>
      <c r="E2548" t="s">
        <v>2206</v>
      </c>
    </row>
    <row r="2549" spans="1:7" x14ac:dyDescent="0.4">
      <c r="A2549" t="s">
        <v>5162</v>
      </c>
      <c r="B2549" t="s">
        <v>5163</v>
      </c>
      <c r="C2549" t="s">
        <v>56</v>
      </c>
      <c r="E2549" t="s">
        <v>2206</v>
      </c>
    </row>
    <row r="2550" spans="1:7" x14ac:dyDescent="0.4">
      <c r="A2550" t="s">
        <v>5164</v>
      </c>
      <c r="B2550" t="s">
        <v>5165</v>
      </c>
      <c r="C2550" t="s">
        <v>56</v>
      </c>
      <c r="E2550" t="s">
        <v>2206</v>
      </c>
    </row>
    <row r="2551" spans="1:7" x14ac:dyDescent="0.4">
      <c r="A2551" t="s">
        <v>5166</v>
      </c>
      <c r="B2551" t="s">
        <v>5167</v>
      </c>
      <c r="C2551" t="s">
        <v>56</v>
      </c>
      <c r="E2551" t="s">
        <v>2206</v>
      </c>
    </row>
    <row r="2552" spans="1:7" x14ac:dyDescent="0.4">
      <c r="A2552" t="s">
        <v>5168</v>
      </c>
      <c r="B2552" t="s">
        <v>5169</v>
      </c>
      <c r="C2552" t="s">
        <v>56</v>
      </c>
      <c r="E2552" t="s">
        <v>2206</v>
      </c>
    </row>
    <row r="2553" spans="1:7" x14ac:dyDescent="0.4">
      <c r="A2553" t="s">
        <v>5170</v>
      </c>
      <c r="B2553" t="s">
        <v>5171</v>
      </c>
      <c r="C2553" t="s">
        <v>6</v>
      </c>
      <c r="D2553" t="s">
        <v>33</v>
      </c>
      <c r="E2553" t="s">
        <v>2206</v>
      </c>
      <c r="G2553" t="s">
        <v>36</v>
      </c>
    </row>
    <row r="2554" spans="1:7" x14ac:dyDescent="0.4">
      <c r="A2554" t="s">
        <v>5172</v>
      </c>
      <c r="B2554" t="s">
        <v>5173</v>
      </c>
      <c r="C2554" t="s">
        <v>6</v>
      </c>
      <c r="D2554" t="s">
        <v>33</v>
      </c>
      <c r="E2554" t="s">
        <v>2206</v>
      </c>
      <c r="G2554" t="s">
        <v>10</v>
      </c>
    </row>
    <row r="2555" spans="1:7" x14ac:dyDescent="0.4">
      <c r="A2555" t="s">
        <v>5174</v>
      </c>
      <c r="B2555" t="s">
        <v>5175</v>
      </c>
      <c r="C2555" t="s">
        <v>6</v>
      </c>
      <c r="D2555" t="s">
        <v>13</v>
      </c>
      <c r="E2555" t="s">
        <v>2206</v>
      </c>
    </row>
    <row r="2556" spans="1:7" x14ac:dyDescent="0.4">
      <c r="A2556" t="s">
        <v>5176</v>
      </c>
      <c r="B2556" t="s">
        <v>5177</v>
      </c>
      <c r="C2556" t="s">
        <v>6</v>
      </c>
      <c r="D2556" t="s">
        <v>24</v>
      </c>
      <c r="E2556" t="s">
        <v>2206</v>
      </c>
    </row>
    <row r="2557" spans="1:7" x14ac:dyDescent="0.4">
      <c r="A2557" t="s">
        <v>5178</v>
      </c>
      <c r="B2557" t="s">
        <v>5179</v>
      </c>
      <c r="C2557" t="s">
        <v>6</v>
      </c>
      <c r="D2557" t="s">
        <v>7</v>
      </c>
      <c r="E2557" t="s">
        <v>2206</v>
      </c>
    </row>
    <row r="2558" spans="1:7" x14ac:dyDescent="0.4">
      <c r="A2558" t="s">
        <v>5180</v>
      </c>
      <c r="B2558" t="s">
        <v>5181</v>
      </c>
      <c r="C2558" t="s">
        <v>39</v>
      </c>
      <c r="E2558" t="s">
        <v>2206</v>
      </c>
    </row>
    <row r="2559" spans="1:7" x14ac:dyDescent="0.4">
      <c r="A2559" t="s">
        <v>5182</v>
      </c>
      <c r="B2559" t="s">
        <v>5183</v>
      </c>
      <c r="C2559" t="s">
        <v>39</v>
      </c>
      <c r="E2559" t="s">
        <v>2206</v>
      </c>
    </row>
    <row r="2560" spans="1:7" x14ac:dyDescent="0.4">
      <c r="A2560" t="s">
        <v>5184</v>
      </c>
      <c r="B2560" t="s">
        <v>5185</v>
      </c>
      <c r="C2560" t="s">
        <v>39</v>
      </c>
      <c r="E2560" t="s">
        <v>2206</v>
      </c>
    </row>
    <row r="2561" spans="1:5" x14ac:dyDescent="0.4">
      <c r="A2561" t="s">
        <v>5186</v>
      </c>
      <c r="B2561" t="s">
        <v>5187</v>
      </c>
      <c r="C2561" t="s">
        <v>39</v>
      </c>
      <c r="E2561" t="s">
        <v>2206</v>
      </c>
    </row>
    <row r="2562" spans="1:5" x14ac:dyDescent="0.4">
      <c r="A2562" t="s">
        <v>5188</v>
      </c>
      <c r="B2562" t="s">
        <v>5189</v>
      </c>
      <c r="C2562" t="s">
        <v>39</v>
      </c>
      <c r="E2562" t="s">
        <v>2206</v>
      </c>
    </row>
    <row r="2563" spans="1:5" x14ac:dyDescent="0.4">
      <c r="A2563" t="s">
        <v>5190</v>
      </c>
      <c r="B2563" t="s">
        <v>5191</v>
      </c>
      <c r="C2563" t="s">
        <v>56</v>
      </c>
      <c r="E2563" t="s">
        <v>2206</v>
      </c>
    </row>
    <row r="2564" spans="1:5" x14ac:dyDescent="0.4">
      <c r="A2564" t="s">
        <v>5192</v>
      </c>
      <c r="B2564" t="s">
        <v>5193</v>
      </c>
      <c r="C2564" t="s">
        <v>56</v>
      </c>
      <c r="E2564" t="s">
        <v>2206</v>
      </c>
    </row>
    <row r="2565" spans="1:5" x14ac:dyDescent="0.4">
      <c r="A2565" t="s">
        <v>5194</v>
      </c>
      <c r="B2565" t="s">
        <v>5195</v>
      </c>
      <c r="C2565" t="s">
        <v>56</v>
      </c>
      <c r="E2565" t="s">
        <v>2206</v>
      </c>
    </row>
    <row r="2566" spans="1:5" x14ac:dyDescent="0.4">
      <c r="A2566" t="s">
        <v>5196</v>
      </c>
      <c r="B2566" t="s">
        <v>5197</v>
      </c>
      <c r="C2566" t="s">
        <v>56</v>
      </c>
      <c r="E2566" t="s">
        <v>2206</v>
      </c>
    </row>
    <row r="2567" spans="1:5" x14ac:dyDescent="0.4">
      <c r="A2567" t="s">
        <v>5198</v>
      </c>
      <c r="B2567" t="s">
        <v>5199</v>
      </c>
      <c r="C2567" t="s">
        <v>56</v>
      </c>
      <c r="E2567" t="s">
        <v>2206</v>
      </c>
    </row>
    <row r="2568" spans="1:5" x14ac:dyDescent="0.4">
      <c r="A2568" t="s">
        <v>5200</v>
      </c>
      <c r="B2568" t="s">
        <v>5201</v>
      </c>
      <c r="C2568" t="s">
        <v>6</v>
      </c>
      <c r="D2568" t="s">
        <v>36</v>
      </c>
      <c r="E2568" t="s">
        <v>2206</v>
      </c>
    </row>
    <row r="2569" spans="1:5" x14ac:dyDescent="0.4">
      <c r="A2569" t="s">
        <v>5202</v>
      </c>
      <c r="B2569" t="s">
        <v>5203</v>
      </c>
      <c r="C2569" t="s">
        <v>6</v>
      </c>
      <c r="D2569" t="s">
        <v>7</v>
      </c>
      <c r="E2569" t="s">
        <v>2206</v>
      </c>
    </row>
    <row r="2570" spans="1:5" x14ac:dyDescent="0.4">
      <c r="A2570" t="s">
        <v>5204</v>
      </c>
      <c r="B2570" t="s">
        <v>5205</v>
      </c>
      <c r="C2570" t="s">
        <v>6</v>
      </c>
      <c r="D2570" t="s">
        <v>36</v>
      </c>
      <c r="E2570" t="s">
        <v>2206</v>
      </c>
    </row>
    <row r="2571" spans="1:5" x14ac:dyDescent="0.4">
      <c r="A2571" t="s">
        <v>5206</v>
      </c>
      <c r="B2571" t="s">
        <v>5207</v>
      </c>
      <c r="C2571" t="s">
        <v>6</v>
      </c>
      <c r="D2571" t="s">
        <v>1126</v>
      </c>
      <c r="E2571" t="s">
        <v>2206</v>
      </c>
    </row>
    <row r="2572" spans="1:5" x14ac:dyDescent="0.4">
      <c r="A2572" t="s">
        <v>5208</v>
      </c>
      <c r="B2572" t="s">
        <v>5209</v>
      </c>
      <c r="C2572" t="s">
        <v>6</v>
      </c>
      <c r="D2572" t="s">
        <v>10</v>
      </c>
      <c r="E2572" t="s">
        <v>2206</v>
      </c>
    </row>
    <row r="2573" spans="1:5" x14ac:dyDescent="0.4">
      <c r="A2573" t="s">
        <v>5210</v>
      </c>
      <c r="B2573" t="s">
        <v>5211</v>
      </c>
      <c r="C2573" t="s">
        <v>39</v>
      </c>
      <c r="E2573" t="s">
        <v>2206</v>
      </c>
    </row>
    <row r="2574" spans="1:5" x14ac:dyDescent="0.4">
      <c r="A2574" t="s">
        <v>5212</v>
      </c>
      <c r="B2574" t="s">
        <v>5213</v>
      </c>
      <c r="C2574" t="s">
        <v>39</v>
      </c>
      <c r="E2574" t="s">
        <v>2206</v>
      </c>
    </row>
    <row r="2575" spans="1:5" x14ac:dyDescent="0.4">
      <c r="A2575" t="s">
        <v>5214</v>
      </c>
      <c r="B2575" t="s">
        <v>5215</v>
      </c>
      <c r="C2575" t="s">
        <v>39</v>
      </c>
      <c r="E2575" t="s">
        <v>2206</v>
      </c>
    </row>
    <row r="2576" spans="1:5" x14ac:dyDescent="0.4">
      <c r="A2576" t="s">
        <v>5216</v>
      </c>
      <c r="B2576" t="s">
        <v>5217</v>
      </c>
      <c r="C2576" t="s">
        <v>39</v>
      </c>
      <c r="E2576" t="s">
        <v>2206</v>
      </c>
    </row>
    <row r="2577" spans="1:6" x14ac:dyDescent="0.4">
      <c r="A2577" t="s">
        <v>5218</v>
      </c>
      <c r="B2577" t="s">
        <v>5219</v>
      </c>
      <c r="C2577" t="s">
        <v>39</v>
      </c>
      <c r="E2577" t="s">
        <v>2206</v>
      </c>
    </row>
    <row r="2578" spans="1:6" x14ac:dyDescent="0.4">
      <c r="A2578" t="s">
        <v>5220</v>
      </c>
      <c r="B2578" t="s">
        <v>5221</v>
      </c>
      <c r="C2578" t="s">
        <v>56</v>
      </c>
      <c r="E2578" t="s">
        <v>2206</v>
      </c>
    </row>
    <row r="2579" spans="1:6" x14ac:dyDescent="0.4">
      <c r="A2579" t="s">
        <v>5222</v>
      </c>
      <c r="B2579" t="s">
        <v>5223</v>
      </c>
      <c r="C2579" t="s">
        <v>39</v>
      </c>
      <c r="E2579" t="s">
        <v>2206</v>
      </c>
      <c r="F2579" t="s">
        <v>56</v>
      </c>
    </row>
    <row r="2580" spans="1:6" x14ac:dyDescent="0.4">
      <c r="A2580" t="s">
        <v>5224</v>
      </c>
      <c r="B2580" t="s">
        <v>5225</v>
      </c>
      <c r="C2580" t="s">
        <v>56</v>
      </c>
      <c r="E2580" t="s">
        <v>2206</v>
      </c>
    </row>
    <row r="2581" spans="1:6" x14ac:dyDescent="0.4">
      <c r="A2581" t="s">
        <v>5226</v>
      </c>
      <c r="B2581" t="s">
        <v>5227</v>
      </c>
      <c r="C2581" t="s">
        <v>56</v>
      </c>
      <c r="E2581" t="s">
        <v>2206</v>
      </c>
    </row>
    <row r="2582" spans="1:6" x14ac:dyDescent="0.4">
      <c r="A2582" t="s">
        <v>5228</v>
      </c>
      <c r="B2582" t="s">
        <v>5229</v>
      </c>
      <c r="C2582" t="s">
        <v>56</v>
      </c>
      <c r="E2582" t="s">
        <v>2206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C199A-6224-4D22-9A91-44BF1C9C9F28}">
  <dimension ref="A2:R42"/>
  <sheetViews>
    <sheetView topLeftCell="A3" zoomScale="84" zoomScaleNormal="65" workbookViewId="0">
      <selection activeCell="I82" sqref="I82"/>
    </sheetView>
  </sheetViews>
  <sheetFormatPr defaultRowHeight="14.6" x14ac:dyDescent="0.4"/>
  <cols>
    <col min="1" max="1" width="12.3046875" customWidth="1"/>
    <col min="11" max="11" width="29" customWidth="1"/>
    <col min="13" max="13" width="28.15234375" customWidth="1"/>
    <col min="14" max="14" width="36.765625" customWidth="1"/>
  </cols>
  <sheetData>
    <row r="2" spans="1:18" x14ac:dyDescent="0.4">
      <c r="A2" t="s">
        <v>2221</v>
      </c>
      <c r="B2" s="4"/>
      <c r="D2" t="s">
        <v>2222</v>
      </c>
      <c r="G2" t="s">
        <v>2224</v>
      </c>
      <c r="K2" t="s">
        <v>2220</v>
      </c>
      <c r="N2" t="s">
        <v>2223</v>
      </c>
      <c r="Q2" t="s">
        <v>2225</v>
      </c>
    </row>
    <row r="3" spans="1:18" ht="21.45" x14ac:dyDescent="0.4">
      <c r="A3" t="s">
        <v>39</v>
      </c>
      <c r="B3">
        <f>COUNTIF(Sheet1!C:C, "Entailing")</f>
        <v>911</v>
      </c>
      <c r="D3" s="5" t="s">
        <v>2197</v>
      </c>
      <c r="E3">
        <f>COUNTIF(Sheet1!D:D,"Negation")</f>
        <v>191</v>
      </c>
      <c r="G3" t="s">
        <v>18</v>
      </c>
      <c r="H3">
        <f>COUNTIF(Sheet1!E:E,"Technology")</f>
        <v>108</v>
      </c>
      <c r="K3" t="s">
        <v>39</v>
      </c>
      <c r="L3">
        <f>(10000 - B3)</f>
        <v>9089</v>
      </c>
      <c r="N3" s="5" t="s">
        <v>2197</v>
      </c>
      <c r="O3">
        <f t="shared" ref="O3:O13" si="0">((10000/11)-E3)</f>
        <v>718.09090909090912</v>
      </c>
      <c r="Q3" t="s">
        <v>18</v>
      </c>
      <c r="R3">
        <f t="shared" ref="R3:R40" si="1">((30000/38)-H3)</f>
        <v>681.47368421052636</v>
      </c>
    </row>
    <row r="4" spans="1:18" ht="21.45" x14ac:dyDescent="0.4">
      <c r="A4" t="s">
        <v>2196</v>
      </c>
      <c r="B4">
        <f>COUNTIF(Sheet1!C:C, "Neutral")</f>
        <v>649</v>
      </c>
      <c r="D4" s="5" t="s">
        <v>2198</v>
      </c>
      <c r="E4">
        <f>COUNTIF(Sheet1!D:D,"Attribute")</f>
        <v>154</v>
      </c>
      <c r="G4" t="s">
        <v>2206</v>
      </c>
      <c r="H4">
        <f>COUNTIF(Sheet1!E:E,"Baseball")</f>
        <v>112</v>
      </c>
      <c r="K4" t="s">
        <v>56</v>
      </c>
      <c r="L4">
        <f>(10000 - B4)</f>
        <v>9351</v>
      </c>
      <c r="N4" s="5" t="s">
        <v>2198</v>
      </c>
      <c r="O4">
        <f t="shared" si="0"/>
        <v>755.09090909090912</v>
      </c>
      <c r="Q4" t="s">
        <v>2206</v>
      </c>
      <c r="R4">
        <f t="shared" si="1"/>
        <v>677.47368421052636</v>
      </c>
    </row>
    <row r="5" spans="1:18" ht="21.45" x14ac:dyDescent="0.4">
      <c r="A5" t="s">
        <v>6</v>
      </c>
      <c r="B5">
        <f>COUNTIF(Sheet1!C:C, "Contradictory")</f>
        <v>1021</v>
      </c>
      <c r="D5" s="5" t="s">
        <v>2199</v>
      </c>
      <c r="E5">
        <f>COUNTIF(Sheet1!D:D,"Numerical")</f>
        <v>85</v>
      </c>
      <c r="G5" t="s">
        <v>2207</v>
      </c>
      <c r="H5">
        <f>COUNTIF(Sheet1!E:E,"Football")</f>
        <v>120</v>
      </c>
      <c r="K5" t="s">
        <v>6</v>
      </c>
      <c r="L5">
        <f>(10000 - B5)</f>
        <v>8979</v>
      </c>
      <c r="N5" s="5" t="s">
        <v>2199</v>
      </c>
      <c r="O5">
        <f t="shared" si="0"/>
        <v>824.09090909090912</v>
      </c>
      <c r="Q5" t="s">
        <v>2207</v>
      </c>
      <c r="R5">
        <f t="shared" si="1"/>
        <v>669.47368421052636</v>
      </c>
    </row>
    <row r="6" spans="1:18" ht="32.15" x14ac:dyDescent="0.4">
      <c r="D6" s="5" t="s">
        <v>2200</v>
      </c>
      <c r="E6">
        <f>COUNTIF(Sheet1!D:D,"Temporal")</f>
        <v>91</v>
      </c>
      <c r="G6" t="s">
        <v>2208</v>
      </c>
      <c r="H6">
        <f>COUNTIF(Sheet1!E:E,"Soccer")</f>
        <v>15</v>
      </c>
      <c r="N6" s="5" t="s">
        <v>2200</v>
      </c>
      <c r="O6">
        <f t="shared" si="0"/>
        <v>818.09090909090912</v>
      </c>
      <c r="Q6" t="s">
        <v>2208</v>
      </c>
      <c r="R6">
        <f t="shared" si="1"/>
        <v>774.47368421052636</v>
      </c>
    </row>
    <row r="7" spans="1:18" ht="32.15" x14ac:dyDescent="0.4">
      <c r="D7" s="5" t="s">
        <v>2201</v>
      </c>
      <c r="E7">
        <f>COUNTIF(Sheet1!D:D,"Causal")</f>
        <v>109</v>
      </c>
      <c r="G7" t="s">
        <v>151</v>
      </c>
      <c r="H7">
        <f>COUNTIF(Sheet1!E:E,"Nature")</f>
        <v>109</v>
      </c>
      <c r="N7" s="5" t="s">
        <v>2201</v>
      </c>
      <c r="O7">
        <f t="shared" si="0"/>
        <v>800.09090909090912</v>
      </c>
      <c r="Q7" t="s">
        <v>151</v>
      </c>
      <c r="R7">
        <f t="shared" si="1"/>
        <v>680.47368421052636</v>
      </c>
    </row>
    <row r="8" spans="1:18" x14ac:dyDescent="0.4">
      <c r="D8" s="5" t="s">
        <v>21</v>
      </c>
      <c r="E8">
        <f>COUNTIF(Sheet1!D:D,"Spatial")</f>
        <v>66</v>
      </c>
      <c r="G8" t="s">
        <v>204</v>
      </c>
      <c r="H8">
        <f>COUNTIF(Sheet1!E:E,"Ocean")</f>
        <v>70</v>
      </c>
      <c r="N8" s="5" t="s">
        <v>21</v>
      </c>
      <c r="O8">
        <f t="shared" si="0"/>
        <v>843.09090909090912</v>
      </c>
      <c r="Q8" t="s">
        <v>204</v>
      </c>
      <c r="R8">
        <f t="shared" si="1"/>
        <v>719.47368421052636</v>
      </c>
    </row>
    <row r="9" spans="1:18" ht="32.15" x14ac:dyDescent="0.4">
      <c r="D9" s="5" t="s">
        <v>2202</v>
      </c>
      <c r="E9">
        <f>COUNTIF(Sheet1!D:D,"Probability")</f>
        <v>51</v>
      </c>
      <c r="G9" t="s">
        <v>138</v>
      </c>
      <c r="H9">
        <f>COUNTIF(Sheet1!E:E,"Business")</f>
        <v>52</v>
      </c>
      <c r="N9" s="5" t="s">
        <v>2202</v>
      </c>
      <c r="O9">
        <f t="shared" si="0"/>
        <v>858.09090909090912</v>
      </c>
      <c r="Q9" t="s">
        <v>138</v>
      </c>
      <c r="R9">
        <f t="shared" si="1"/>
        <v>737.47368421052636</v>
      </c>
    </row>
    <row r="10" spans="1:18" ht="21.45" x14ac:dyDescent="0.4">
      <c r="D10" s="5" t="s">
        <v>2203</v>
      </c>
      <c r="E10">
        <f>COUNTIF(Sheet1!D:D,"Opinion")</f>
        <v>98</v>
      </c>
      <c r="G10" t="s">
        <v>330</v>
      </c>
      <c r="H10">
        <f>COUNTIF(Sheet1!E:E,"Crime")</f>
        <v>59</v>
      </c>
      <c r="N10" s="5" t="s">
        <v>2203</v>
      </c>
      <c r="O10">
        <f t="shared" si="0"/>
        <v>811.09090909090912</v>
      </c>
      <c r="Q10" t="s">
        <v>330</v>
      </c>
      <c r="R10">
        <f t="shared" si="1"/>
        <v>730.47368421052636</v>
      </c>
    </row>
    <row r="11" spans="1:18" ht="21.45" x14ac:dyDescent="0.4">
      <c r="D11" s="5" t="s">
        <v>2204</v>
      </c>
      <c r="E11">
        <f>COUNTIF(Sheet1!D:D,"Rules")</f>
        <v>49</v>
      </c>
      <c r="G11" t="s">
        <v>125</v>
      </c>
      <c r="H11">
        <f>COUNTIF(Sheet1!E:E,"Weather")</f>
        <v>29</v>
      </c>
      <c r="N11" s="5" t="s">
        <v>2204</v>
      </c>
      <c r="O11">
        <f t="shared" si="0"/>
        <v>860.09090909090912</v>
      </c>
      <c r="Q11" t="s">
        <v>125</v>
      </c>
      <c r="R11">
        <f t="shared" si="1"/>
        <v>760.47368421052636</v>
      </c>
    </row>
    <row r="12" spans="1:18" ht="32.15" x14ac:dyDescent="0.4">
      <c r="D12" s="5" t="s">
        <v>2205</v>
      </c>
      <c r="E12">
        <f>COUNTIF(Sheet1!D:D,"Definition")</f>
        <v>61</v>
      </c>
      <c r="G12" t="s">
        <v>166</v>
      </c>
      <c r="H12">
        <f>COUNTIF(Sheet1!E:E,"School")</f>
        <v>51</v>
      </c>
      <c r="N12" s="5" t="s">
        <v>2205</v>
      </c>
      <c r="O12">
        <f t="shared" si="0"/>
        <v>848.09090909090912</v>
      </c>
      <c r="Q12" t="s">
        <v>166</v>
      </c>
      <c r="R12">
        <f t="shared" si="1"/>
        <v>738.47368421052636</v>
      </c>
    </row>
    <row r="13" spans="1:18" x14ac:dyDescent="0.4">
      <c r="D13" s="5" t="s">
        <v>2</v>
      </c>
      <c r="E13">
        <f>COUNTIF(Sheet1!D:D,"Exclusive Relationship")</f>
        <v>68</v>
      </c>
      <c r="G13" t="s">
        <v>2209</v>
      </c>
      <c r="H13">
        <f>COUNTIF(Sheet1!E:E,"College")</f>
        <v>116</v>
      </c>
      <c r="N13" s="5" t="s">
        <v>2</v>
      </c>
      <c r="O13">
        <f t="shared" si="0"/>
        <v>841.09090909090912</v>
      </c>
      <c r="Q13" t="s">
        <v>2209</v>
      </c>
      <c r="R13">
        <f t="shared" si="1"/>
        <v>673.47368421052636</v>
      </c>
    </row>
    <row r="14" spans="1:18" x14ac:dyDescent="0.4">
      <c r="G14" t="s">
        <v>130</v>
      </c>
      <c r="H14">
        <f>COUNTIF(Sheet1!E:E,"Law")</f>
        <v>27</v>
      </c>
      <c r="Q14" t="s">
        <v>130</v>
      </c>
      <c r="R14">
        <f t="shared" si="1"/>
        <v>762.47368421052636</v>
      </c>
    </row>
    <row r="15" spans="1:18" x14ac:dyDescent="0.4">
      <c r="G15" t="s">
        <v>161</v>
      </c>
      <c r="H15">
        <f>COUNTIF(Sheet1!E:E,"Parties")</f>
        <v>19</v>
      </c>
      <c r="Q15" t="s">
        <v>161</v>
      </c>
      <c r="R15">
        <f t="shared" si="1"/>
        <v>770.47368421052636</v>
      </c>
    </row>
    <row r="16" spans="1:18" x14ac:dyDescent="0.4">
      <c r="G16" t="s">
        <v>2210</v>
      </c>
      <c r="H16">
        <f>COUNTIF(Sheet1!E:E,"TV Shows") + COUNTIF(Sheet1!E:E,"Movie")</f>
        <v>16</v>
      </c>
      <c r="Q16" t="s">
        <v>2210</v>
      </c>
      <c r="R16">
        <f t="shared" si="1"/>
        <v>773.47368421052636</v>
      </c>
    </row>
    <row r="17" spans="7:18" x14ac:dyDescent="0.4">
      <c r="G17" t="s">
        <v>143</v>
      </c>
      <c r="H17">
        <f>COUNTIF(Sheet1!E:E, "Medicine")</f>
        <v>24</v>
      </c>
      <c r="Q17" t="s">
        <v>143</v>
      </c>
      <c r="R17">
        <f t="shared" si="1"/>
        <v>765.47368421052636</v>
      </c>
    </row>
    <row r="18" spans="7:18" x14ac:dyDescent="0.4">
      <c r="G18" t="s">
        <v>325</v>
      </c>
      <c r="H18">
        <f>COUNTIF(Sheet1!E:E, "Animals")</f>
        <v>26</v>
      </c>
      <c r="Q18" t="s">
        <v>325</v>
      </c>
      <c r="R18">
        <f t="shared" si="1"/>
        <v>763.47368421052636</v>
      </c>
    </row>
    <row r="19" spans="7:18" x14ac:dyDescent="0.4">
      <c r="G19" t="s">
        <v>2211</v>
      </c>
      <c r="H19">
        <f>COUNTIF(Sheet1!E:E, "Coffee")</f>
        <v>60</v>
      </c>
      <c r="Q19" t="s">
        <v>2211</v>
      </c>
      <c r="R19">
        <f t="shared" si="1"/>
        <v>729.47368421052636</v>
      </c>
    </row>
    <row r="20" spans="7:18" x14ac:dyDescent="0.4">
      <c r="G20" t="s">
        <v>135</v>
      </c>
      <c r="H20">
        <f>COUNTIF(Sheet1!E:E, "Food")</f>
        <v>47</v>
      </c>
      <c r="Q20" t="s">
        <v>135</v>
      </c>
      <c r="R20">
        <f t="shared" si="1"/>
        <v>742.47368421052636</v>
      </c>
    </row>
    <row r="21" spans="7:18" x14ac:dyDescent="0.4">
      <c r="G21" t="s">
        <v>2849</v>
      </c>
      <c r="H21">
        <f>COUNTIF(Sheet1!E:E, "Carpentry")</f>
        <v>86</v>
      </c>
      <c r="Q21" t="s">
        <v>2212</v>
      </c>
      <c r="R21">
        <f t="shared" si="1"/>
        <v>703.47368421052636</v>
      </c>
    </row>
    <row r="22" spans="7:18" x14ac:dyDescent="0.4">
      <c r="G22" t="s">
        <v>2213</v>
      </c>
      <c r="H22">
        <f>COUNTIF(Sheet1!E:E, "Stoneworking")</f>
        <v>120</v>
      </c>
      <c r="Q22" t="s">
        <v>2213</v>
      </c>
      <c r="R22">
        <f t="shared" si="1"/>
        <v>669.47368421052636</v>
      </c>
    </row>
    <row r="23" spans="7:18" x14ac:dyDescent="0.4">
      <c r="G23" t="s">
        <v>2214</v>
      </c>
      <c r="H23">
        <f>COUNTIF(Sheet1!E:E, "Painting")</f>
        <v>132</v>
      </c>
      <c r="Q23" t="s">
        <v>2214</v>
      </c>
      <c r="R23">
        <f t="shared" si="1"/>
        <v>657.47368421052636</v>
      </c>
    </row>
    <row r="24" spans="7:18" x14ac:dyDescent="0.4">
      <c r="G24" t="s">
        <v>2215</v>
      </c>
      <c r="H24">
        <f>COUNTIF(Sheet1!E:E, "Fiber crafts")</f>
        <v>90</v>
      </c>
      <c r="Q24" t="s">
        <v>2215</v>
      </c>
      <c r="R24">
        <f t="shared" si="1"/>
        <v>699.47368421052636</v>
      </c>
    </row>
    <row r="25" spans="7:18" x14ac:dyDescent="0.4">
      <c r="G25" t="s">
        <v>2216</v>
      </c>
      <c r="H25">
        <f>COUNTIF(Sheet1!E:E, "Gaming")</f>
        <v>125</v>
      </c>
      <c r="Q25" t="s">
        <v>2216</v>
      </c>
      <c r="R25">
        <f t="shared" si="1"/>
        <v>664.47368421052636</v>
      </c>
    </row>
    <row r="26" spans="7:18" x14ac:dyDescent="0.4">
      <c r="G26" t="s">
        <v>185</v>
      </c>
      <c r="H26">
        <f>COUNTIF(Sheet1!E:E, "Construction")</f>
        <v>38</v>
      </c>
      <c r="Q26" t="s">
        <v>185</v>
      </c>
      <c r="R26">
        <f t="shared" si="1"/>
        <v>751.47368421052636</v>
      </c>
    </row>
    <row r="27" spans="7:18" x14ac:dyDescent="0.4">
      <c r="G27" t="s">
        <v>2217</v>
      </c>
      <c r="H27">
        <f>COUNTIF(Sheet1!E:E, "Cybersecurity")</f>
        <v>110</v>
      </c>
      <c r="Q27" t="s">
        <v>2217</v>
      </c>
      <c r="R27">
        <f t="shared" si="1"/>
        <v>679.47368421052636</v>
      </c>
    </row>
    <row r="28" spans="7:18" x14ac:dyDescent="0.4">
      <c r="G28" t="s">
        <v>349</v>
      </c>
      <c r="H28">
        <f>COUNTIF(Sheet1!E:E, "Physics")</f>
        <v>33</v>
      </c>
      <c r="Q28" t="s">
        <v>349</v>
      </c>
      <c r="R28">
        <f t="shared" si="1"/>
        <v>756.47368421052636</v>
      </c>
    </row>
    <row r="29" spans="7:18" x14ac:dyDescent="0.4">
      <c r="G29" t="s">
        <v>2218</v>
      </c>
      <c r="H29">
        <f>COUNTIF(Sheet1!E:E, "Math")</f>
        <v>94</v>
      </c>
      <c r="Q29" t="s">
        <v>2218</v>
      </c>
      <c r="R29">
        <f t="shared" si="1"/>
        <v>695.47368421052636</v>
      </c>
    </row>
    <row r="30" spans="7:18" x14ac:dyDescent="0.4">
      <c r="G30" t="s">
        <v>566</v>
      </c>
      <c r="H30">
        <f>COUNTIF(Sheet1!E:E, "Literature")</f>
        <v>48</v>
      </c>
      <c r="Q30" t="s">
        <v>566</v>
      </c>
      <c r="R30">
        <f t="shared" si="1"/>
        <v>741.47368421052636</v>
      </c>
    </row>
    <row r="31" spans="7:18" x14ac:dyDescent="0.4">
      <c r="G31" t="s">
        <v>156</v>
      </c>
      <c r="H31">
        <f>COUNTIF(Sheet1!E:E, "Sports")</f>
        <v>119</v>
      </c>
      <c r="Q31" t="s">
        <v>156</v>
      </c>
      <c r="R31">
        <f t="shared" si="1"/>
        <v>670.47368421052636</v>
      </c>
    </row>
    <row r="32" spans="7:18" x14ac:dyDescent="0.4">
      <c r="G32" t="s">
        <v>148</v>
      </c>
      <c r="H32">
        <f>COUNTIF(Sheet1!E:E, "Music")</f>
        <v>21</v>
      </c>
      <c r="Q32" t="s">
        <v>148</v>
      </c>
      <c r="R32">
        <f t="shared" si="1"/>
        <v>768.47368421052636</v>
      </c>
    </row>
    <row r="33" spans="7:18" x14ac:dyDescent="0.4">
      <c r="G33" t="s">
        <v>2219</v>
      </c>
      <c r="H33">
        <f>COUNTIF(Sheet1!E:E, "Safety") + COUNTIF(Sheet1!E:E, "Public Safety")</f>
        <v>117</v>
      </c>
      <c r="Q33" t="s">
        <v>2219</v>
      </c>
      <c r="R33">
        <f t="shared" si="1"/>
        <v>672.47368421052636</v>
      </c>
    </row>
    <row r="34" spans="7:18" x14ac:dyDescent="0.4">
      <c r="G34" t="s">
        <v>615</v>
      </c>
      <c r="H34">
        <f>COUNTIF(Sheet1!E:E, "Art") + COUNTIF(Sheet1!E:E, "Arts")</f>
        <v>38</v>
      </c>
      <c r="Q34" t="s">
        <v>615</v>
      </c>
      <c r="R34">
        <f t="shared" si="1"/>
        <v>751.47368421052636</v>
      </c>
    </row>
    <row r="35" spans="7:18" x14ac:dyDescent="0.4">
      <c r="G35" t="s">
        <v>627</v>
      </c>
      <c r="H35">
        <f>COUNTIF(Sheet1!E:E, "Travel")</f>
        <v>23</v>
      </c>
      <c r="Q35" t="s">
        <v>627</v>
      </c>
      <c r="R35">
        <f t="shared" si="1"/>
        <v>766.47368421052636</v>
      </c>
    </row>
    <row r="36" spans="7:18" x14ac:dyDescent="0.4">
      <c r="G36" t="s">
        <v>646</v>
      </c>
      <c r="H36">
        <f>COUNTIF(Sheet1!E:E, "History")</f>
        <v>29</v>
      </c>
      <c r="Q36" t="s">
        <v>646</v>
      </c>
      <c r="R36">
        <f t="shared" si="1"/>
        <v>760.47368421052636</v>
      </c>
    </row>
    <row r="37" spans="7:18" x14ac:dyDescent="0.4">
      <c r="G37" t="s">
        <v>730</v>
      </c>
      <c r="H37">
        <f>COUNTIF(Sheet1!E:E, "Transportation")</f>
        <v>18</v>
      </c>
      <c r="Q37" t="s">
        <v>730</v>
      </c>
      <c r="R37">
        <f t="shared" si="1"/>
        <v>771.47368421052636</v>
      </c>
    </row>
    <row r="38" spans="7:18" x14ac:dyDescent="0.4">
      <c r="G38" t="s">
        <v>715</v>
      </c>
      <c r="H38">
        <f>COUNTIF(Sheet1!E:E, "Communication")</f>
        <v>15</v>
      </c>
      <c r="Q38" t="s">
        <v>715</v>
      </c>
      <c r="R38">
        <f t="shared" si="1"/>
        <v>774.47368421052636</v>
      </c>
    </row>
    <row r="39" spans="7:18" x14ac:dyDescent="0.4">
      <c r="G39" t="s">
        <v>1434</v>
      </c>
      <c r="H39">
        <f>COUNTIF(Sheet1!E:E, "Charity")</f>
        <v>109</v>
      </c>
      <c r="Q39" t="s">
        <v>1434</v>
      </c>
      <c r="R39">
        <f t="shared" si="1"/>
        <v>680.47368421052636</v>
      </c>
    </row>
    <row r="40" spans="7:18" x14ac:dyDescent="0.4">
      <c r="G40" t="s">
        <v>1674</v>
      </c>
      <c r="H40">
        <f>COUNTIF(Sheet1!E:E, "Science")</f>
        <v>114</v>
      </c>
      <c r="Q40" t="s">
        <v>1674</v>
      </c>
      <c r="R40">
        <f t="shared" si="1"/>
        <v>675.47368421052636</v>
      </c>
    </row>
    <row r="41" spans="7:18" x14ac:dyDescent="0.4">
      <c r="G41" t="s">
        <v>1690</v>
      </c>
      <c r="H41">
        <f>COUNTIF(Sheet1!E:E, "Public Health")</f>
        <v>1</v>
      </c>
      <c r="Q41" t="s">
        <v>1690</v>
      </c>
      <c r="R41">
        <f t="shared" ref="R41" si="2">((30000/38)-H41)</f>
        <v>788.47368421052636</v>
      </c>
    </row>
    <row r="42" spans="7:18" x14ac:dyDescent="0.4">
      <c r="G42" t="s">
        <v>1823</v>
      </c>
      <c r="H42">
        <f>COUNTIF(Sheet1!E:E, "Unrelated")</f>
        <v>39</v>
      </c>
    </row>
  </sheetData>
  <sortState xmlns:xlrd2="http://schemas.microsoft.com/office/spreadsheetml/2017/richdata2" ref="G51:G90">
    <sortCondition ref="G51:G9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Keene, Jamie W</dc:creator>
  <cp:lastModifiedBy>Keene, Jamie W</cp:lastModifiedBy>
  <dcterms:created xsi:type="dcterms:W3CDTF">2025-04-10T20:46:01Z</dcterms:created>
  <dcterms:modified xsi:type="dcterms:W3CDTF">2026-02-21T17:50:00Z</dcterms:modified>
</cp:coreProperties>
</file>